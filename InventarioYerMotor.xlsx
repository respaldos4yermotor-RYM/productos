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cuments\productos\"/>
    </mc:Choice>
  </mc:AlternateContent>
  <bookViews>
    <workbookView xWindow="0" yWindow="0" windowWidth="20490" windowHeight="7530" activeTab="2"/>
  </bookViews>
  <sheets>
    <sheet name="General" sheetId="1" r:id="rId1"/>
    <sheet name="Secundario" sheetId="2" r:id="rId2"/>
    <sheet name="Productos de Bajo Costo" sheetId="4" r:id="rId3"/>
    <sheet name="BICICLETA" sheetId="5" r:id="rId4"/>
    <sheet name="Fórmulas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72" i="4" l="1"/>
  <c r="L372" i="4"/>
  <c r="I372" i="4"/>
  <c r="H372" i="4"/>
  <c r="G372" i="4"/>
  <c r="J372" i="4" s="1"/>
  <c r="L371" i="4"/>
  <c r="M371" i="4" s="1"/>
  <c r="I371" i="4"/>
  <c r="G371" i="4"/>
  <c r="J371" i="4" s="1"/>
  <c r="M370" i="4"/>
  <c r="L370" i="4"/>
  <c r="I370" i="4"/>
  <c r="H370" i="4"/>
  <c r="G370" i="4"/>
  <c r="J370" i="4" s="1"/>
  <c r="L369" i="4"/>
  <c r="M369" i="4" s="1"/>
  <c r="I369" i="4"/>
  <c r="G369" i="4"/>
  <c r="J369" i="4" s="1"/>
  <c r="M368" i="4"/>
  <c r="L368" i="4"/>
  <c r="I368" i="4"/>
  <c r="H368" i="4"/>
  <c r="G368" i="4"/>
  <c r="J368" i="4" s="1"/>
  <c r="L129" i="5"/>
  <c r="M129" i="5" s="1"/>
  <c r="I129" i="5"/>
  <c r="G129" i="5"/>
  <c r="H129" i="5" s="1"/>
  <c r="L128" i="5"/>
  <c r="M128" i="5" s="1"/>
  <c r="I128" i="5"/>
  <c r="G128" i="5"/>
  <c r="L127" i="5"/>
  <c r="M127" i="5" s="1"/>
  <c r="I127" i="5"/>
  <c r="G127" i="5"/>
  <c r="H127" i="5" s="1"/>
  <c r="L126" i="5"/>
  <c r="M126" i="5" s="1"/>
  <c r="I126" i="5"/>
  <c r="G126" i="5"/>
  <c r="L125" i="5"/>
  <c r="M125" i="5" s="1"/>
  <c r="I125" i="5"/>
  <c r="G125" i="5"/>
  <c r="H125" i="5" s="1"/>
  <c r="L124" i="5"/>
  <c r="M124" i="5" s="1"/>
  <c r="I124" i="5"/>
  <c r="G124" i="5"/>
  <c r="L123" i="5"/>
  <c r="M123" i="5" s="1"/>
  <c r="I123" i="5"/>
  <c r="G123" i="5"/>
  <c r="H123" i="5" s="1"/>
  <c r="L122" i="5"/>
  <c r="M122" i="5" s="1"/>
  <c r="I122" i="5"/>
  <c r="G122" i="5"/>
  <c r="L121" i="5"/>
  <c r="M121" i="5" s="1"/>
  <c r="I121" i="5"/>
  <c r="G121" i="5"/>
  <c r="H121" i="5" s="1"/>
  <c r="L120" i="5"/>
  <c r="M120" i="5" s="1"/>
  <c r="I120" i="5"/>
  <c r="G120" i="5"/>
  <c r="L119" i="5"/>
  <c r="M119" i="5" s="1"/>
  <c r="I119" i="5"/>
  <c r="G119" i="5"/>
  <c r="H119" i="5" s="1"/>
  <c r="L118" i="5"/>
  <c r="M118" i="5" s="1"/>
  <c r="I118" i="5"/>
  <c r="G118" i="5"/>
  <c r="L117" i="5"/>
  <c r="M117" i="5" s="1"/>
  <c r="I117" i="5"/>
  <c r="G117" i="5"/>
  <c r="H117" i="5" s="1"/>
  <c r="L116" i="5"/>
  <c r="M116" i="5" s="1"/>
  <c r="I116" i="5"/>
  <c r="G116" i="5"/>
  <c r="L115" i="5"/>
  <c r="M115" i="5" s="1"/>
  <c r="I115" i="5"/>
  <c r="G115" i="5"/>
  <c r="H115" i="5" s="1"/>
  <c r="L114" i="5"/>
  <c r="M114" i="5" s="1"/>
  <c r="I114" i="5"/>
  <c r="G114" i="5"/>
  <c r="L113" i="5"/>
  <c r="M113" i="5" s="1"/>
  <c r="I113" i="5"/>
  <c r="G113" i="5"/>
  <c r="H113" i="5" s="1"/>
  <c r="L112" i="5"/>
  <c r="M112" i="5" s="1"/>
  <c r="I112" i="5"/>
  <c r="G112" i="5"/>
  <c r="L111" i="5"/>
  <c r="M111" i="5" s="1"/>
  <c r="I111" i="5"/>
  <c r="G111" i="5"/>
  <c r="H111" i="5" s="1"/>
  <c r="L110" i="5"/>
  <c r="M110" i="5" s="1"/>
  <c r="I110" i="5"/>
  <c r="G110" i="5"/>
  <c r="L109" i="5"/>
  <c r="M109" i="5" s="1"/>
  <c r="I109" i="5"/>
  <c r="G109" i="5"/>
  <c r="H109" i="5" s="1"/>
  <c r="L108" i="5"/>
  <c r="M108" i="5" s="1"/>
  <c r="I108" i="5"/>
  <c r="G108" i="5"/>
  <c r="L107" i="5"/>
  <c r="M107" i="5" s="1"/>
  <c r="I107" i="5"/>
  <c r="G107" i="5"/>
  <c r="H107" i="5" s="1"/>
  <c r="L106" i="5"/>
  <c r="M106" i="5" s="1"/>
  <c r="I106" i="5"/>
  <c r="G106" i="5"/>
  <c r="L105" i="5"/>
  <c r="M105" i="5" s="1"/>
  <c r="I105" i="5"/>
  <c r="G105" i="5"/>
  <c r="H105" i="5" s="1"/>
  <c r="L104" i="5"/>
  <c r="M104" i="5" s="1"/>
  <c r="I104" i="5"/>
  <c r="G104" i="5"/>
  <c r="L103" i="5"/>
  <c r="M103" i="5" s="1"/>
  <c r="I103" i="5"/>
  <c r="G103" i="5"/>
  <c r="H103" i="5" s="1"/>
  <c r="L102" i="5"/>
  <c r="M102" i="5" s="1"/>
  <c r="I102" i="5"/>
  <c r="G102" i="5"/>
  <c r="L101" i="5"/>
  <c r="M101" i="5" s="1"/>
  <c r="I101" i="5"/>
  <c r="G101" i="5"/>
  <c r="H101" i="5" s="1"/>
  <c r="L100" i="5"/>
  <c r="M100" i="5" s="1"/>
  <c r="I100" i="5"/>
  <c r="G100" i="5"/>
  <c r="L99" i="5"/>
  <c r="M99" i="5" s="1"/>
  <c r="I99" i="5"/>
  <c r="G99" i="5"/>
  <c r="H99" i="5" s="1"/>
  <c r="L98" i="5"/>
  <c r="M98" i="5" s="1"/>
  <c r="I98" i="5"/>
  <c r="G98" i="5"/>
  <c r="L97" i="5"/>
  <c r="M97" i="5" s="1"/>
  <c r="I97" i="5"/>
  <c r="G97" i="5"/>
  <c r="H97" i="5" s="1"/>
  <c r="L96" i="5"/>
  <c r="M96" i="5" s="1"/>
  <c r="I96" i="5"/>
  <c r="G96" i="5"/>
  <c r="L95" i="5"/>
  <c r="M95" i="5" s="1"/>
  <c r="I95" i="5"/>
  <c r="G95" i="5"/>
  <c r="H95" i="5" s="1"/>
  <c r="L94" i="5"/>
  <c r="M94" i="5" s="1"/>
  <c r="I94" i="5"/>
  <c r="G94" i="5"/>
  <c r="L93" i="5"/>
  <c r="M93" i="5" s="1"/>
  <c r="I93" i="5"/>
  <c r="G93" i="5"/>
  <c r="H93" i="5" s="1"/>
  <c r="L92" i="5"/>
  <c r="M92" i="5" s="1"/>
  <c r="I92" i="5"/>
  <c r="G92" i="5"/>
  <c r="L91" i="5"/>
  <c r="M91" i="5" s="1"/>
  <c r="I91" i="5"/>
  <c r="G91" i="5"/>
  <c r="H91" i="5" s="1"/>
  <c r="L90" i="5"/>
  <c r="M90" i="5" s="1"/>
  <c r="I90" i="5"/>
  <c r="G90" i="5"/>
  <c r="L89" i="5"/>
  <c r="M89" i="5" s="1"/>
  <c r="I89" i="5"/>
  <c r="G89" i="5"/>
  <c r="L88" i="5"/>
  <c r="M88" i="5" s="1"/>
  <c r="I88" i="5"/>
  <c r="G88" i="5"/>
  <c r="L87" i="5"/>
  <c r="M87" i="5" s="1"/>
  <c r="I87" i="5"/>
  <c r="G87" i="5"/>
  <c r="J87" i="5" s="1"/>
  <c r="L86" i="5"/>
  <c r="M86" i="5" s="1"/>
  <c r="I86" i="5"/>
  <c r="G86" i="5"/>
  <c r="M85" i="5"/>
  <c r="L85" i="5"/>
  <c r="I85" i="5"/>
  <c r="G85" i="5"/>
  <c r="J85" i="5" s="1"/>
  <c r="L84" i="5"/>
  <c r="M84" i="5" s="1"/>
  <c r="I84" i="5"/>
  <c r="G84" i="5"/>
  <c r="H84" i="5" s="1"/>
  <c r="L83" i="5"/>
  <c r="M83" i="5" s="1"/>
  <c r="I83" i="5"/>
  <c r="G83" i="5"/>
  <c r="J83" i="5" s="1"/>
  <c r="L82" i="5"/>
  <c r="M82" i="5" s="1"/>
  <c r="I82" i="5"/>
  <c r="G82" i="5"/>
  <c r="H82" i="5" s="1"/>
  <c r="M81" i="5"/>
  <c r="L81" i="5"/>
  <c r="I81" i="5"/>
  <c r="G81" i="5"/>
  <c r="L80" i="5"/>
  <c r="M80" i="5" s="1"/>
  <c r="I80" i="5"/>
  <c r="G80" i="5"/>
  <c r="H80" i="5" s="1"/>
  <c r="M79" i="5"/>
  <c r="L79" i="5"/>
  <c r="I79" i="5"/>
  <c r="G79" i="5"/>
  <c r="J79" i="5" s="1"/>
  <c r="L78" i="5"/>
  <c r="M78" i="5" s="1"/>
  <c r="I78" i="5"/>
  <c r="G78" i="5"/>
  <c r="M77" i="5"/>
  <c r="L77" i="5"/>
  <c r="I77" i="5"/>
  <c r="G77" i="5"/>
  <c r="J77" i="5" s="1"/>
  <c r="L76" i="5"/>
  <c r="M76" i="5" s="1"/>
  <c r="I76" i="5"/>
  <c r="G76" i="5"/>
  <c r="H76" i="5" s="1"/>
  <c r="L75" i="5"/>
  <c r="M75" i="5" s="1"/>
  <c r="I75" i="5"/>
  <c r="G75" i="5"/>
  <c r="J75" i="5" s="1"/>
  <c r="L74" i="5"/>
  <c r="M74" i="5" s="1"/>
  <c r="I74" i="5"/>
  <c r="G74" i="5"/>
  <c r="H74" i="5" s="1"/>
  <c r="L73" i="5"/>
  <c r="M73" i="5" s="1"/>
  <c r="I73" i="5"/>
  <c r="G73" i="5"/>
  <c r="L72" i="5"/>
  <c r="M72" i="5" s="1"/>
  <c r="I72" i="5"/>
  <c r="G72" i="5"/>
  <c r="H72" i="5" s="1"/>
  <c r="L71" i="5"/>
  <c r="M71" i="5" s="1"/>
  <c r="I71" i="5"/>
  <c r="G71" i="5"/>
  <c r="J71" i="5" s="1"/>
  <c r="L70" i="5"/>
  <c r="M70" i="5" s="1"/>
  <c r="I70" i="5"/>
  <c r="G70" i="5"/>
  <c r="M69" i="5"/>
  <c r="L69" i="5"/>
  <c r="I69" i="5"/>
  <c r="G69" i="5"/>
  <c r="J69" i="5" s="1"/>
  <c r="L68" i="5"/>
  <c r="M68" i="5" s="1"/>
  <c r="I68" i="5"/>
  <c r="G68" i="5"/>
  <c r="H68" i="5" s="1"/>
  <c r="L67" i="5"/>
  <c r="M67" i="5" s="1"/>
  <c r="I67" i="5"/>
  <c r="G67" i="5"/>
  <c r="J67" i="5" s="1"/>
  <c r="L66" i="5"/>
  <c r="M66" i="5" s="1"/>
  <c r="I66" i="5"/>
  <c r="G66" i="5"/>
  <c r="H66" i="5" s="1"/>
  <c r="L65" i="5"/>
  <c r="M65" i="5" s="1"/>
  <c r="I65" i="5"/>
  <c r="G65" i="5"/>
  <c r="L64" i="5"/>
  <c r="M64" i="5" s="1"/>
  <c r="I64" i="5"/>
  <c r="G64" i="5"/>
  <c r="J64" i="5" s="1"/>
  <c r="L63" i="5"/>
  <c r="M63" i="5" s="1"/>
  <c r="I63" i="5"/>
  <c r="G63" i="5"/>
  <c r="H63" i="5" s="1"/>
  <c r="L62" i="5"/>
  <c r="M62" i="5" s="1"/>
  <c r="I62" i="5"/>
  <c r="G62" i="5"/>
  <c r="J62" i="5" s="1"/>
  <c r="L61" i="5"/>
  <c r="M61" i="5" s="1"/>
  <c r="I61" i="5"/>
  <c r="G61" i="5"/>
  <c r="H61" i="5" s="1"/>
  <c r="M60" i="5"/>
  <c r="L60" i="5"/>
  <c r="I60" i="5"/>
  <c r="G60" i="5"/>
  <c r="J60" i="5" s="1"/>
  <c r="L59" i="5"/>
  <c r="M59" i="5" s="1"/>
  <c r="I59" i="5"/>
  <c r="G59" i="5"/>
  <c r="H59" i="5" s="1"/>
  <c r="L58" i="5"/>
  <c r="M58" i="5" s="1"/>
  <c r="I58" i="5"/>
  <c r="G58" i="5"/>
  <c r="J58" i="5" s="1"/>
  <c r="L57" i="5"/>
  <c r="M57" i="5" s="1"/>
  <c r="I57" i="5"/>
  <c r="G57" i="5"/>
  <c r="H57" i="5" s="1"/>
  <c r="L56" i="5"/>
  <c r="M56" i="5" s="1"/>
  <c r="I56" i="5"/>
  <c r="G56" i="5"/>
  <c r="J56" i="5" s="1"/>
  <c r="L55" i="5"/>
  <c r="M55" i="5" s="1"/>
  <c r="I55" i="5"/>
  <c r="G55" i="5"/>
  <c r="H55" i="5" s="1"/>
  <c r="L54" i="5"/>
  <c r="M54" i="5" s="1"/>
  <c r="I54" i="5"/>
  <c r="G54" i="5"/>
  <c r="J54" i="5" s="1"/>
  <c r="L53" i="5"/>
  <c r="M53" i="5" s="1"/>
  <c r="I53" i="5"/>
  <c r="G53" i="5"/>
  <c r="H53" i="5" s="1"/>
  <c r="M52" i="5"/>
  <c r="L52" i="5"/>
  <c r="I52" i="5"/>
  <c r="G52" i="5"/>
  <c r="J52" i="5" s="1"/>
  <c r="L51" i="5"/>
  <c r="M51" i="5" s="1"/>
  <c r="I51" i="5"/>
  <c r="G51" i="5"/>
  <c r="H51" i="5" s="1"/>
  <c r="L50" i="5"/>
  <c r="M50" i="5" s="1"/>
  <c r="I50" i="5"/>
  <c r="G50" i="5"/>
  <c r="J50" i="5" s="1"/>
  <c r="L49" i="5"/>
  <c r="M49" i="5" s="1"/>
  <c r="I49" i="5"/>
  <c r="G49" i="5"/>
  <c r="H49" i="5" s="1"/>
  <c r="L48" i="5"/>
  <c r="M48" i="5" s="1"/>
  <c r="I48" i="5"/>
  <c r="G48" i="5"/>
  <c r="J48" i="5" s="1"/>
  <c r="L47" i="5"/>
  <c r="M47" i="5" s="1"/>
  <c r="I47" i="5"/>
  <c r="G47" i="5"/>
  <c r="H47" i="5" s="1"/>
  <c r="L46" i="5"/>
  <c r="M46" i="5" s="1"/>
  <c r="I46" i="5"/>
  <c r="G46" i="5"/>
  <c r="J46" i="5" s="1"/>
  <c r="L45" i="5"/>
  <c r="M45" i="5" s="1"/>
  <c r="I45" i="5"/>
  <c r="G45" i="5"/>
  <c r="H45" i="5" s="1"/>
  <c r="M44" i="5"/>
  <c r="L44" i="5"/>
  <c r="I44" i="5"/>
  <c r="G44" i="5"/>
  <c r="J44" i="5" s="1"/>
  <c r="L43" i="5"/>
  <c r="M43" i="5" s="1"/>
  <c r="I43" i="5"/>
  <c r="G43" i="5"/>
  <c r="H43" i="5" s="1"/>
  <c r="L42" i="5"/>
  <c r="M42" i="5" s="1"/>
  <c r="I42" i="5"/>
  <c r="G42" i="5"/>
  <c r="J42" i="5" s="1"/>
  <c r="L41" i="5"/>
  <c r="M41" i="5" s="1"/>
  <c r="I41" i="5"/>
  <c r="G41" i="5"/>
  <c r="H41" i="5" s="1"/>
  <c r="L40" i="5"/>
  <c r="M40" i="5" s="1"/>
  <c r="I40" i="5"/>
  <c r="G40" i="5"/>
  <c r="J40" i="5" s="1"/>
  <c r="L39" i="5"/>
  <c r="M39" i="5" s="1"/>
  <c r="I39" i="5"/>
  <c r="G39" i="5"/>
  <c r="H39" i="5" s="1"/>
  <c r="L38" i="5"/>
  <c r="M38" i="5" s="1"/>
  <c r="I38" i="5"/>
  <c r="G38" i="5"/>
  <c r="J38" i="5" s="1"/>
  <c r="L37" i="5"/>
  <c r="M37" i="5" s="1"/>
  <c r="I37" i="5"/>
  <c r="G37" i="5"/>
  <c r="H37" i="5" s="1"/>
  <c r="M36" i="5"/>
  <c r="L36" i="5"/>
  <c r="I36" i="5"/>
  <c r="G36" i="5"/>
  <c r="J36" i="5" s="1"/>
  <c r="L35" i="5"/>
  <c r="M35" i="5" s="1"/>
  <c r="I35" i="5"/>
  <c r="G35" i="5"/>
  <c r="H35" i="5" s="1"/>
  <c r="L34" i="5"/>
  <c r="M34" i="5" s="1"/>
  <c r="I34" i="5"/>
  <c r="G34" i="5"/>
  <c r="J34" i="5" s="1"/>
  <c r="L33" i="5"/>
  <c r="M33" i="5" s="1"/>
  <c r="I33" i="5"/>
  <c r="G33" i="5"/>
  <c r="H33" i="5" s="1"/>
  <c r="L32" i="5"/>
  <c r="M32" i="5" s="1"/>
  <c r="I32" i="5"/>
  <c r="G32" i="5"/>
  <c r="J32" i="5" s="1"/>
  <c r="L31" i="5"/>
  <c r="M31" i="5" s="1"/>
  <c r="I31" i="5"/>
  <c r="G31" i="5"/>
  <c r="H31" i="5" s="1"/>
  <c r="L30" i="5"/>
  <c r="M30" i="5" s="1"/>
  <c r="I30" i="5"/>
  <c r="G30" i="5"/>
  <c r="J30" i="5" s="1"/>
  <c r="L29" i="5"/>
  <c r="M29" i="5" s="1"/>
  <c r="I29" i="5"/>
  <c r="G29" i="5"/>
  <c r="H29" i="5" s="1"/>
  <c r="M28" i="5"/>
  <c r="L28" i="5"/>
  <c r="I28" i="5"/>
  <c r="G28" i="5"/>
  <c r="J28" i="5" s="1"/>
  <c r="L27" i="5"/>
  <c r="M27" i="5" s="1"/>
  <c r="I27" i="5"/>
  <c r="G27" i="5"/>
  <c r="H27" i="5" s="1"/>
  <c r="L26" i="5"/>
  <c r="M26" i="5" s="1"/>
  <c r="I26" i="5"/>
  <c r="G26" i="5"/>
  <c r="J26" i="5" s="1"/>
  <c r="L25" i="5"/>
  <c r="M25" i="5" s="1"/>
  <c r="I25" i="5"/>
  <c r="G25" i="5"/>
  <c r="H25" i="5" s="1"/>
  <c r="L24" i="5"/>
  <c r="M24" i="5" s="1"/>
  <c r="I24" i="5"/>
  <c r="G24" i="5"/>
  <c r="J24" i="5" s="1"/>
  <c r="L23" i="5"/>
  <c r="M23" i="5" s="1"/>
  <c r="I23" i="5"/>
  <c r="G23" i="5"/>
  <c r="H23" i="5" s="1"/>
  <c r="L22" i="5"/>
  <c r="M22" i="5" s="1"/>
  <c r="I22" i="5"/>
  <c r="G22" i="5"/>
  <c r="J22" i="5" s="1"/>
  <c r="L21" i="5"/>
  <c r="M21" i="5" s="1"/>
  <c r="I21" i="5"/>
  <c r="G21" i="5"/>
  <c r="H21" i="5" s="1"/>
  <c r="M20" i="5"/>
  <c r="L20" i="5"/>
  <c r="I20" i="5"/>
  <c r="G20" i="5"/>
  <c r="J20" i="5" s="1"/>
  <c r="L19" i="5"/>
  <c r="M19" i="5" s="1"/>
  <c r="I19" i="5"/>
  <c r="G19" i="5"/>
  <c r="H19" i="5" s="1"/>
  <c r="L18" i="5"/>
  <c r="M18" i="5" s="1"/>
  <c r="I18" i="5"/>
  <c r="G18" i="5"/>
  <c r="J18" i="5" s="1"/>
  <c r="L17" i="5"/>
  <c r="M17" i="5" s="1"/>
  <c r="I17" i="5"/>
  <c r="G17" i="5"/>
  <c r="H17" i="5" s="1"/>
  <c r="L16" i="5"/>
  <c r="M16" i="5" s="1"/>
  <c r="I16" i="5"/>
  <c r="G16" i="5"/>
  <c r="J16" i="5" s="1"/>
  <c r="L15" i="5"/>
  <c r="M15" i="5" s="1"/>
  <c r="I15" i="5"/>
  <c r="G15" i="5"/>
  <c r="H15" i="5" s="1"/>
  <c r="L14" i="5"/>
  <c r="M14" i="5" s="1"/>
  <c r="I14" i="5"/>
  <c r="G14" i="5"/>
  <c r="J14" i="5" s="1"/>
  <c r="L13" i="5"/>
  <c r="M13" i="5" s="1"/>
  <c r="I13" i="5"/>
  <c r="G13" i="5"/>
  <c r="H13" i="5" s="1"/>
  <c r="L12" i="5"/>
  <c r="M12" i="5" s="1"/>
  <c r="I12" i="5"/>
  <c r="G12" i="5"/>
  <c r="J12" i="5" s="1"/>
  <c r="L11" i="5"/>
  <c r="M11" i="5" s="1"/>
  <c r="I11" i="5"/>
  <c r="G11" i="5"/>
  <c r="H11" i="5" s="1"/>
  <c r="L10" i="5"/>
  <c r="M10" i="5" s="1"/>
  <c r="I10" i="5"/>
  <c r="G10" i="5"/>
  <c r="J10" i="5" s="1"/>
  <c r="L9" i="5"/>
  <c r="M9" i="5" s="1"/>
  <c r="I9" i="5"/>
  <c r="G9" i="5"/>
  <c r="H9" i="5" s="1"/>
  <c r="L8" i="5"/>
  <c r="M8" i="5" s="1"/>
  <c r="I8" i="5"/>
  <c r="G8" i="5"/>
  <c r="J8" i="5" s="1"/>
  <c r="L7" i="5"/>
  <c r="M7" i="5" s="1"/>
  <c r="I7" i="5"/>
  <c r="G7" i="5"/>
  <c r="H7" i="5" s="1"/>
  <c r="L636" i="4"/>
  <c r="M636" i="4" s="1"/>
  <c r="I636" i="4"/>
  <c r="G636" i="4"/>
  <c r="H636" i="4" s="1"/>
  <c r="L635" i="4"/>
  <c r="M635" i="4" s="1"/>
  <c r="I635" i="4"/>
  <c r="G635" i="4"/>
  <c r="J635" i="4" s="1"/>
  <c r="L634" i="4"/>
  <c r="M634" i="4" s="1"/>
  <c r="I634" i="4"/>
  <c r="G634" i="4"/>
  <c r="H634" i="4" s="1"/>
  <c r="L633" i="4"/>
  <c r="M633" i="4" s="1"/>
  <c r="I633" i="4"/>
  <c r="G633" i="4"/>
  <c r="J633" i="4" s="1"/>
  <c r="L632" i="4"/>
  <c r="M632" i="4" s="1"/>
  <c r="I632" i="4"/>
  <c r="G632" i="4"/>
  <c r="H632" i="4" s="1"/>
  <c r="L631" i="4"/>
  <c r="M631" i="4" s="1"/>
  <c r="I631" i="4"/>
  <c r="G631" i="4"/>
  <c r="J631" i="4" s="1"/>
  <c r="L630" i="4"/>
  <c r="M630" i="4" s="1"/>
  <c r="I630" i="4"/>
  <c r="G630" i="4"/>
  <c r="H630" i="4" s="1"/>
  <c r="L629" i="4"/>
  <c r="M629" i="4" s="1"/>
  <c r="I629" i="4"/>
  <c r="G629" i="4"/>
  <c r="J629" i="4" s="1"/>
  <c r="L628" i="4"/>
  <c r="M628" i="4" s="1"/>
  <c r="I628" i="4"/>
  <c r="G628" i="4"/>
  <c r="H628" i="4" s="1"/>
  <c r="L627" i="4"/>
  <c r="M627" i="4" s="1"/>
  <c r="I627" i="4"/>
  <c r="G627" i="4"/>
  <c r="J627" i="4" s="1"/>
  <c r="L626" i="4"/>
  <c r="M626" i="4" s="1"/>
  <c r="I626" i="4"/>
  <c r="G626" i="4"/>
  <c r="H626" i="4" s="1"/>
  <c r="L625" i="4"/>
  <c r="M625" i="4" s="1"/>
  <c r="I625" i="4"/>
  <c r="G625" i="4"/>
  <c r="J625" i="4" s="1"/>
  <c r="L696" i="4"/>
  <c r="M696" i="4" s="1"/>
  <c r="I696" i="4"/>
  <c r="G696" i="4"/>
  <c r="H696" i="4" s="1"/>
  <c r="L695" i="4"/>
  <c r="M695" i="4" s="1"/>
  <c r="I695" i="4"/>
  <c r="G695" i="4"/>
  <c r="J695" i="4" s="1"/>
  <c r="L694" i="4"/>
  <c r="M694" i="4" s="1"/>
  <c r="I694" i="4"/>
  <c r="G694" i="4"/>
  <c r="H694" i="4" s="1"/>
  <c r="L693" i="4"/>
  <c r="M693" i="4" s="1"/>
  <c r="I693" i="4"/>
  <c r="G693" i="4"/>
  <c r="J693" i="4" s="1"/>
  <c r="L692" i="4"/>
  <c r="M692" i="4" s="1"/>
  <c r="I692" i="4"/>
  <c r="G692" i="4"/>
  <c r="H692" i="4" s="1"/>
  <c r="L691" i="4"/>
  <c r="M691" i="4" s="1"/>
  <c r="I691" i="4"/>
  <c r="G691" i="4"/>
  <c r="J691" i="4" s="1"/>
  <c r="L690" i="4"/>
  <c r="M690" i="4" s="1"/>
  <c r="I690" i="4"/>
  <c r="G690" i="4"/>
  <c r="H690" i="4" s="1"/>
  <c r="L689" i="4"/>
  <c r="M689" i="4" s="1"/>
  <c r="I689" i="4"/>
  <c r="G689" i="4"/>
  <c r="J689" i="4" s="1"/>
  <c r="L688" i="4"/>
  <c r="M688" i="4" s="1"/>
  <c r="I688" i="4"/>
  <c r="G688" i="4"/>
  <c r="H688" i="4" s="1"/>
  <c r="L687" i="4"/>
  <c r="M687" i="4" s="1"/>
  <c r="I687" i="4"/>
  <c r="G687" i="4"/>
  <c r="J687" i="4" s="1"/>
  <c r="L686" i="4"/>
  <c r="M686" i="4" s="1"/>
  <c r="I686" i="4"/>
  <c r="G686" i="4"/>
  <c r="H686" i="4" s="1"/>
  <c r="L685" i="4"/>
  <c r="M685" i="4" s="1"/>
  <c r="I685" i="4"/>
  <c r="G685" i="4"/>
  <c r="J685" i="4" s="1"/>
  <c r="L684" i="4"/>
  <c r="M684" i="4" s="1"/>
  <c r="I684" i="4"/>
  <c r="G684" i="4"/>
  <c r="H684" i="4" s="1"/>
  <c r="L683" i="4"/>
  <c r="M683" i="4" s="1"/>
  <c r="I683" i="4"/>
  <c r="G683" i="4"/>
  <c r="J683" i="4" s="1"/>
  <c r="L682" i="4"/>
  <c r="M682" i="4" s="1"/>
  <c r="I682" i="4"/>
  <c r="G682" i="4"/>
  <c r="H682" i="4" s="1"/>
  <c r="L681" i="4"/>
  <c r="M681" i="4" s="1"/>
  <c r="I681" i="4"/>
  <c r="G681" i="4"/>
  <c r="J681" i="4" s="1"/>
  <c r="L680" i="4"/>
  <c r="M680" i="4" s="1"/>
  <c r="I680" i="4"/>
  <c r="G680" i="4"/>
  <c r="H680" i="4" s="1"/>
  <c r="L679" i="4"/>
  <c r="M679" i="4" s="1"/>
  <c r="I679" i="4"/>
  <c r="G679" i="4"/>
  <c r="J679" i="4" s="1"/>
  <c r="L617" i="4"/>
  <c r="M617" i="4" s="1"/>
  <c r="I617" i="4"/>
  <c r="G617" i="4"/>
  <c r="H617" i="4" s="1"/>
  <c r="L616" i="4"/>
  <c r="M616" i="4" s="1"/>
  <c r="I616" i="4"/>
  <c r="G616" i="4"/>
  <c r="J616" i="4" s="1"/>
  <c r="L615" i="4"/>
  <c r="M615" i="4" s="1"/>
  <c r="I615" i="4"/>
  <c r="G615" i="4"/>
  <c r="H615" i="4" s="1"/>
  <c r="L614" i="4"/>
  <c r="M614" i="4" s="1"/>
  <c r="I614" i="4"/>
  <c r="G614" i="4"/>
  <c r="J614" i="4" s="1"/>
  <c r="L613" i="4"/>
  <c r="M613" i="4" s="1"/>
  <c r="I613" i="4"/>
  <c r="G613" i="4"/>
  <c r="H613" i="4" s="1"/>
  <c r="L612" i="4"/>
  <c r="M612" i="4" s="1"/>
  <c r="I612" i="4"/>
  <c r="G612" i="4"/>
  <c r="J612" i="4" s="1"/>
  <c r="L611" i="4"/>
  <c r="M611" i="4" s="1"/>
  <c r="I611" i="4"/>
  <c r="G611" i="4"/>
  <c r="H611" i="4" s="1"/>
  <c r="L610" i="4"/>
  <c r="M610" i="4" s="1"/>
  <c r="I610" i="4"/>
  <c r="G610" i="4"/>
  <c r="J610" i="4" s="1"/>
  <c r="L609" i="4"/>
  <c r="M609" i="4" s="1"/>
  <c r="I609" i="4"/>
  <c r="G609" i="4"/>
  <c r="H609" i="4" s="1"/>
  <c r="L608" i="4"/>
  <c r="M608" i="4" s="1"/>
  <c r="I608" i="4"/>
  <c r="G608" i="4"/>
  <c r="J608" i="4" s="1"/>
  <c r="L607" i="4"/>
  <c r="M607" i="4" s="1"/>
  <c r="I607" i="4"/>
  <c r="G607" i="4"/>
  <c r="H607" i="4" s="1"/>
  <c r="L606" i="4"/>
  <c r="M606" i="4" s="1"/>
  <c r="I606" i="4"/>
  <c r="G606" i="4"/>
  <c r="J606" i="4" s="1"/>
  <c r="G590" i="4"/>
  <c r="H590" i="4" s="1"/>
  <c r="I590" i="4"/>
  <c r="L590" i="4"/>
  <c r="M590" i="4" s="1"/>
  <c r="G591" i="4"/>
  <c r="J591" i="4" s="1"/>
  <c r="I591" i="4"/>
  <c r="L591" i="4"/>
  <c r="M591" i="4" s="1"/>
  <c r="G592" i="4"/>
  <c r="H592" i="4" s="1"/>
  <c r="I592" i="4"/>
  <c r="L592" i="4"/>
  <c r="M592" i="4" s="1"/>
  <c r="G593" i="4"/>
  <c r="J593" i="4" s="1"/>
  <c r="I593" i="4"/>
  <c r="L593" i="4"/>
  <c r="M593" i="4" s="1"/>
  <c r="G594" i="4"/>
  <c r="H594" i="4" s="1"/>
  <c r="I594" i="4"/>
  <c r="L594" i="4"/>
  <c r="M594" i="4" s="1"/>
  <c r="L601" i="4"/>
  <c r="M601" i="4" s="1"/>
  <c r="I601" i="4"/>
  <c r="G601" i="4"/>
  <c r="H601" i="4" s="1"/>
  <c r="L600" i="4"/>
  <c r="M600" i="4" s="1"/>
  <c r="I600" i="4"/>
  <c r="G600" i="4"/>
  <c r="J600" i="4" s="1"/>
  <c r="L599" i="4"/>
  <c r="M599" i="4" s="1"/>
  <c r="I599" i="4"/>
  <c r="G599" i="4"/>
  <c r="H599" i="4" s="1"/>
  <c r="L598" i="4"/>
  <c r="M598" i="4" s="1"/>
  <c r="I598" i="4"/>
  <c r="G598" i="4"/>
  <c r="J598" i="4" s="1"/>
  <c r="L618" i="4"/>
  <c r="M618" i="4" s="1"/>
  <c r="I618" i="4"/>
  <c r="G618" i="4"/>
  <c r="H618" i="4" s="1"/>
  <c r="L605" i="4"/>
  <c r="M605" i="4" s="1"/>
  <c r="I605" i="4"/>
  <c r="G605" i="4"/>
  <c r="J605" i="4" s="1"/>
  <c r="L604" i="4"/>
  <c r="M604" i="4" s="1"/>
  <c r="I604" i="4"/>
  <c r="G604" i="4"/>
  <c r="H604" i="4" s="1"/>
  <c r="L603" i="4"/>
  <c r="M603" i="4" s="1"/>
  <c r="I603" i="4"/>
  <c r="G603" i="4"/>
  <c r="J603" i="4" s="1"/>
  <c r="L602" i="4"/>
  <c r="M602" i="4" s="1"/>
  <c r="I602" i="4"/>
  <c r="G602" i="4"/>
  <c r="H602" i="4" s="1"/>
  <c r="L597" i="4"/>
  <c r="M597" i="4" s="1"/>
  <c r="I597" i="4"/>
  <c r="G597" i="4"/>
  <c r="J597" i="4" s="1"/>
  <c r="L596" i="4"/>
  <c r="M596" i="4" s="1"/>
  <c r="I596" i="4"/>
  <c r="G596" i="4"/>
  <c r="H596" i="4" s="1"/>
  <c r="L595" i="4"/>
  <c r="M595" i="4" s="1"/>
  <c r="I595" i="4"/>
  <c r="G595" i="4"/>
  <c r="H595" i="4" s="1"/>
  <c r="L744" i="1"/>
  <c r="M744" i="1" s="1"/>
  <c r="I744" i="1"/>
  <c r="H744" i="1"/>
  <c r="G744" i="1"/>
  <c r="L743" i="1"/>
  <c r="M743" i="1" s="1"/>
  <c r="I743" i="1"/>
  <c r="G743" i="1"/>
  <c r="H743" i="1" s="1"/>
  <c r="L742" i="1"/>
  <c r="M742" i="1" s="1"/>
  <c r="I742" i="1"/>
  <c r="G742" i="1"/>
  <c r="H742" i="1" s="1"/>
  <c r="M741" i="1"/>
  <c r="L741" i="1"/>
  <c r="I741" i="1"/>
  <c r="G741" i="1"/>
  <c r="H741" i="1" s="1"/>
  <c r="L740" i="1"/>
  <c r="M740" i="1" s="1"/>
  <c r="I740" i="1"/>
  <c r="H740" i="1"/>
  <c r="G740" i="1"/>
  <c r="L739" i="1"/>
  <c r="M739" i="1" s="1"/>
  <c r="I739" i="1"/>
  <c r="G739" i="1"/>
  <c r="H739" i="1" s="1"/>
  <c r="L738" i="1"/>
  <c r="M738" i="1" s="1"/>
  <c r="I738" i="1"/>
  <c r="G738" i="1"/>
  <c r="H738" i="1" s="1"/>
  <c r="L737" i="1"/>
  <c r="M737" i="1" s="1"/>
  <c r="I737" i="1"/>
  <c r="H737" i="1"/>
  <c r="G737" i="1"/>
  <c r="M736" i="1"/>
  <c r="L736" i="1"/>
  <c r="I736" i="1"/>
  <c r="G736" i="1"/>
  <c r="H736" i="1" s="1"/>
  <c r="L735" i="1"/>
  <c r="M735" i="1" s="1"/>
  <c r="I735" i="1"/>
  <c r="H735" i="1"/>
  <c r="G735" i="1"/>
  <c r="M734" i="1"/>
  <c r="L734" i="1"/>
  <c r="I734" i="1"/>
  <c r="G734" i="1"/>
  <c r="H734" i="1" s="1"/>
  <c r="L733" i="1"/>
  <c r="M733" i="1" s="1"/>
  <c r="I733" i="1"/>
  <c r="G733" i="1"/>
  <c r="H733" i="1" s="1"/>
  <c r="M732" i="1"/>
  <c r="L732" i="1"/>
  <c r="I732" i="1"/>
  <c r="G732" i="1"/>
  <c r="H732" i="1" s="1"/>
  <c r="H369" i="4" l="1"/>
  <c r="H371" i="4"/>
  <c r="J68" i="5"/>
  <c r="H50" i="5"/>
  <c r="H34" i="5"/>
  <c r="J117" i="5"/>
  <c r="H18" i="5"/>
  <c r="H26" i="5"/>
  <c r="H42" i="5"/>
  <c r="H58" i="5"/>
  <c r="J115" i="5"/>
  <c r="J13" i="5"/>
  <c r="J66" i="5"/>
  <c r="H83" i="5"/>
  <c r="J636" i="4"/>
  <c r="J11" i="5"/>
  <c r="J109" i="5"/>
  <c r="J125" i="5"/>
  <c r="J123" i="5"/>
  <c r="J634" i="4"/>
  <c r="J17" i="5"/>
  <c r="J25" i="5"/>
  <c r="J33" i="5"/>
  <c r="J41" i="5"/>
  <c r="J49" i="5"/>
  <c r="J57" i="5"/>
  <c r="H75" i="5"/>
  <c r="J107" i="5"/>
  <c r="J690" i="4"/>
  <c r="J628" i="4"/>
  <c r="J15" i="5"/>
  <c r="J23" i="5"/>
  <c r="J31" i="5"/>
  <c r="J39" i="5"/>
  <c r="J47" i="5"/>
  <c r="J55" i="5"/>
  <c r="J63" i="5"/>
  <c r="J74" i="5"/>
  <c r="J113" i="5"/>
  <c r="J121" i="5"/>
  <c r="J129" i="5"/>
  <c r="J626" i="4"/>
  <c r="H67" i="5"/>
  <c r="H69" i="5"/>
  <c r="H71" i="5"/>
  <c r="J82" i="5"/>
  <c r="J111" i="5"/>
  <c r="J119" i="5"/>
  <c r="J127" i="5"/>
  <c r="J632" i="4"/>
  <c r="J630" i="4"/>
  <c r="J9" i="5"/>
  <c r="H70" i="5"/>
  <c r="J70" i="5"/>
  <c r="J73" i="5"/>
  <c r="H73" i="5"/>
  <c r="J90" i="5"/>
  <c r="H90" i="5"/>
  <c r="J94" i="5"/>
  <c r="H94" i="5"/>
  <c r="J98" i="5"/>
  <c r="H98" i="5"/>
  <c r="J102" i="5"/>
  <c r="H102" i="5"/>
  <c r="J106" i="5"/>
  <c r="H106" i="5"/>
  <c r="J114" i="5"/>
  <c r="H114" i="5"/>
  <c r="J122" i="5"/>
  <c r="H122" i="5"/>
  <c r="H8" i="5"/>
  <c r="H10" i="5"/>
  <c r="H12" i="5"/>
  <c r="H14" i="5"/>
  <c r="H20" i="5"/>
  <c r="H28" i="5"/>
  <c r="H36" i="5"/>
  <c r="H44" i="5"/>
  <c r="H52" i="5"/>
  <c r="H60" i="5"/>
  <c r="H77" i="5"/>
  <c r="H78" i="5"/>
  <c r="J78" i="5"/>
  <c r="H79" i="5"/>
  <c r="J81" i="5"/>
  <c r="H81" i="5"/>
  <c r="H89" i="5"/>
  <c r="J89" i="5"/>
  <c r="J112" i="5"/>
  <c r="H112" i="5"/>
  <c r="J120" i="5"/>
  <c r="H120" i="5"/>
  <c r="J128" i="5"/>
  <c r="H128" i="5"/>
  <c r="H22" i="5"/>
  <c r="J19" i="5"/>
  <c r="J27" i="5"/>
  <c r="H30" i="5"/>
  <c r="J35" i="5"/>
  <c r="H38" i="5"/>
  <c r="J43" i="5"/>
  <c r="H46" i="5"/>
  <c r="J51" i="5"/>
  <c r="H54" i="5"/>
  <c r="J59" i="5"/>
  <c r="H62" i="5"/>
  <c r="J72" i="5"/>
  <c r="J76" i="5"/>
  <c r="H85" i="5"/>
  <c r="H86" i="5"/>
  <c r="J86" i="5"/>
  <c r="H87" i="5"/>
  <c r="J88" i="5"/>
  <c r="H88" i="5"/>
  <c r="J92" i="5"/>
  <c r="H92" i="5"/>
  <c r="J96" i="5"/>
  <c r="H96" i="5"/>
  <c r="J100" i="5"/>
  <c r="H100" i="5"/>
  <c r="J104" i="5"/>
  <c r="H104" i="5"/>
  <c r="J110" i="5"/>
  <c r="H110" i="5"/>
  <c r="J118" i="5"/>
  <c r="H118" i="5"/>
  <c r="J126" i="5"/>
  <c r="H126" i="5"/>
  <c r="H16" i="5"/>
  <c r="J21" i="5"/>
  <c r="H24" i="5"/>
  <c r="J29" i="5"/>
  <c r="H32" i="5"/>
  <c r="J37" i="5"/>
  <c r="H40" i="5"/>
  <c r="J45" i="5"/>
  <c r="H48" i="5"/>
  <c r="J53" i="5"/>
  <c r="H56" i="5"/>
  <c r="J61" i="5"/>
  <c r="H64" i="5"/>
  <c r="J65" i="5"/>
  <c r="H65" i="5"/>
  <c r="J80" i="5"/>
  <c r="J84" i="5"/>
  <c r="J108" i="5"/>
  <c r="H108" i="5"/>
  <c r="J116" i="5"/>
  <c r="H116" i="5"/>
  <c r="J124" i="5"/>
  <c r="H124" i="5"/>
  <c r="J91" i="5"/>
  <c r="J93" i="5"/>
  <c r="J95" i="5"/>
  <c r="J97" i="5"/>
  <c r="J99" i="5"/>
  <c r="J101" i="5"/>
  <c r="J103" i="5"/>
  <c r="J105" i="5"/>
  <c r="J7" i="5"/>
  <c r="H625" i="4"/>
  <c r="H627" i="4"/>
  <c r="H629" i="4"/>
  <c r="H631" i="4"/>
  <c r="H633" i="4"/>
  <c r="H635" i="4"/>
  <c r="J688" i="4"/>
  <c r="J682" i="4"/>
  <c r="J680" i="4"/>
  <c r="J609" i="4"/>
  <c r="J686" i="4"/>
  <c r="J607" i="4"/>
  <c r="J684" i="4"/>
  <c r="H691" i="4"/>
  <c r="J692" i="4"/>
  <c r="H693" i="4"/>
  <c r="J694" i="4"/>
  <c r="H695" i="4"/>
  <c r="J696" i="4"/>
  <c r="H685" i="4"/>
  <c r="H687" i="4"/>
  <c r="H689" i="4"/>
  <c r="H679" i="4"/>
  <c r="H681" i="4"/>
  <c r="H683" i="4"/>
  <c r="H614" i="4"/>
  <c r="J615" i="4"/>
  <c r="H616" i="4"/>
  <c r="J617" i="4"/>
  <c r="H610" i="4"/>
  <c r="J611" i="4"/>
  <c r="H612" i="4"/>
  <c r="J613" i="4"/>
  <c r="H606" i="4"/>
  <c r="H608" i="4"/>
  <c r="J592" i="4"/>
  <c r="J590" i="4"/>
  <c r="H593" i="4"/>
  <c r="H591" i="4"/>
  <c r="J601" i="4"/>
  <c r="J604" i="4"/>
  <c r="J599" i="4"/>
  <c r="J594" i="4"/>
  <c r="H598" i="4"/>
  <c r="H600" i="4"/>
  <c r="H597" i="4"/>
  <c r="J602" i="4"/>
  <c r="H603" i="4"/>
  <c r="H605" i="4"/>
  <c r="J618" i="4"/>
  <c r="J595" i="4"/>
  <c r="J596" i="4"/>
  <c r="L731" i="1"/>
  <c r="M731" i="1" s="1"/>
  <c r="I731" i="1"/>
  <c r="G731" i="1"/>
  <c r="H731" i="1" s="1"/>
  <c r="L730" i="1"/>
  <c r="M730" i="1" s="1"/>
  <c r="I730" i="1"/>
  <c r="G730" i="1"/>
  <c r="H730" i="1" s="1"/>
  <c r="L729" i="1"/>
  <c r="M729" i="1" s="1"/>
  <c r="I729" i="1"/>
  <c r="G729" i="1"/>
  <c r="H729" i="1" s="1"/>
  <c r="L728" i="1"/>
  <c r="M728" i="1" s="1"/>
  <c r="I728" i="1"/>
  <c r="G728" i="1"/>
  <c r="H728" i="1" s="1"/>
  <c r="L727" i="1"/>
  <c r="M727" i="1" s="1"/>
  <c r="I727" i="1"/>
  <c r="G727" i="1"/>
  <c r="H727" i="1" s="1"/>
  <c r="L726" i="1"/>
  <c r="M726" i="1" s="1"/>
  <c r="I726" i="1"/>
  <c r="G726" i="1"/>
  <c r="H726" i="1" s="1"/>
  <c r="L725" i="1"/>
  <c r="M725" i="1" s="1"/>
  <c r="I725" i="1"/>
  <c r="G725" i="1"/>
  <c r="H725" i="1" s="1"/>
  <c r="L724" i="1"/>
  <c r="M724" i="1" s="1"/>
  <c r="I724" i="1"/>
  <c r="G724" i="1"/>
  <c r="H724" i="1" s="1"/>
  <c r="L723" i="1"/>
  <c r="M723" i="1" s="1"/>
  <c r="I723" i="1"/>
  <c r="G723" i="1"/>
  <c r="H723" i="1" s="1"/>
  <c r="L712" i="1"/>
  <c r="M712" i="1" s="1"/>
  <c r="I712" i="1"/>
  <c r="G712" i="1"/>
  <c r="H712" i="1" s="1"/>
  <c r="L678" i="4"/>
  <c r="M678" i="4" s="1"/>
  <c r="I678" i="4"/>
  <c r="G678" i="4"/>
  <c r="H678" i="4" s="1"/>
  <c r="L677" i="4"/>
  <c r="M677" i="4" s="1"/>
  <c r="I677" i="4"/>
  <c r="G677" i="4"/>
  <c r="J677" i="4" s="1"/>
  <c r="L676" i="4"/>
  <c r="M676" i="4" s="1"/>
  <c r="I676" i="4"/>
  <c r="G676" i="4"/>
  <c r="H676" i="4" s="1"/>
  <c r="L675" i="4"/>
  <c r="M675" i="4" s="1"/>
  <c r="I675" i="4"/>
  <c r="G675" i="4"/>
  <c r="J675" i="4" s="1"/>
  <c r="L674" i="4"/>
  <c r="M674" i="4" s="1"/>
  <c r="I674" i="4"/>
  <c r="G674" i="4"/>
  <c r="H674" i="4" s="1"/>
  <c r="L673" i="4"/>
  <c r="M673" i="4" s="1"/>
  <c r="I673" i="4"/>
  <c r="G673" i="4"/>
  <c r="H673" i="4" s="1"/>
  <c r="L672" i="4"/>
  <c r="M672" i="4" s="1"/>
  <c r="I672" i="4"/>
  <c r="G672" i="4"/>
  <c r="J672" i="4" s="1"/>
  <c r="L671" i="4"/>
  <c r="M671" i="4" s="1"/>
  <c r="I671" i="4"/>
  <c r="G671" i="4"/>
  <c r="H671" i="4" s="1"/>
  <c r="L670" i="4"/>
  <c r="M670" i="4" s="1"/>
  <c r="I670" i="4"/>
  <c r="G670" i="4"/>
  <c r="J670" i="4" s="1"/>
  <c r="L669" i="4"/>
  <c r="M669" i="4" s="1"/>
  <c r="I669" i="4"/>
  <c r="G669" i="4"/>
  <c r="H669" i="4" s="1"/>
  <c r="L668" i="4"/>
  <c r="M668" i="4" s="1"/>
  <c r="I668" i="4"/>
  <c r="G668" i="4"/>
  <c r="H668" i="4" s="1"/>
  <c r="L667" i="4"/>
  <c r="M667" i="4" s="1"/>
  <c r="I667" i="4"/>
  <c r="G667" i="4"/>
  <c r="J667" i="4" s="1"/>
  <c r="L666" i="4"/>
  <c r="M666" i="4" s="1"/>
  <c r="I666" i="4"/>
  <c r="G666" i="4"/>
  <c r="H666" i="4" s="1"/>
  <c r="L665" i="4"/>
  <c r="M665" i="4" s="1"/>
  <c r="I665" i="4"/>
  <c r="G665" i="4"/>
  <c r="J665" i="4" s="1"/>
  <c r="L664" i="4"/>
  <c r="M664" i="4" s="1"/>
  <c r="I664" i="4"/>
  <c r="G664" i="4"/>
  <c r="H664" i="4" s="1"/>
  <c r="L663" i="4"/>
  <c r="M663" i="4" s="1"/>
  <c r="I663" i="4"/>
  <c r="G663" i="4"/>
  <c r="H663" i="4" s="1"/>
  <c r="L662" i="4"/>
  <c r="M662" i="4" s="1"/>
  <c r="I662" i="4"/>
  <c r="G662" i="4"/>
  <c r="J662" i="4" s="1"/>
  <c r="L661" i="4"/>
  <c r="M661" i="4" s="1"/>
  <c r="I661" i="4"/>
  <c r="G661" i="4"/>
  <c r="H661" i="4" s="1"/>
  <c r="L660" i="4"/>
  <c r="M660" i="4" s="1"/>
  <c r="I660" i="4"/>
  <c r="G660" i="4"/>
  <c r="J660" i="4" s="1"/>
  <c r="L659" i="4"/>
  <c r="M659" i="4" s="1"/>
  <c r="I659" i="4"/>
  <c r="G659" i="4"/>
  <c r="H659" i="4" s="1"/>
  <c r="L658" i="4"/>
  <c r="M658" i="4" s="1"/>
  <c r="I658" i="4"/>
  <c r="G658" i="4"/>
  <c r="J658" i="4" s="1"/>
  <c r="L657" i="4"/>
  <c r="M657" i="4" s="1"/>
  <c r="I657" i="4"/>
  <c r="G657" i="4"/>
  <c r="J657" i="4" s="1"/>
  <c r="L656" i="4"/>
  <c r="M656" i="4" s="1"/>
  <c r="I656" i="4"/>
  <c r="G656" i="4"/>
  <c r="J656" i="4" s="1"/>
  <c r="L655" i="4"/>
  <c r="M655" i="4" s="1"/>
  <c r="I655" i="4"/>
  <c r="G655" i="4"/>
  <c r="J655" i="4" s="1"/>
  <c r="L654" i="4"/>
  <c r="M654" i="4" s="1"/>
  <c r="I654" i="4"/>
  <c r="G654" i="4"/>
  <c r="J654" i="4" s="1"/>
  <c r="L581" i="4"/>
  <c r="M581" i="4" s="1"/>
  <c r="I581" i="4"/>
  <c r="G581" i="4"/>
  <c r="H581" i="4" s="1"/>
  <c r="L830" i="1"/>
  <c r="M830" i="1" s="1"/>
  <c r="I830" i="1"/>
  <c r="G830" i="1"/>
  <c r="H830" i="1" s="1"/>
  <c r="L829" i="1"/>
  <c r="M829" i="1" s="1"/>
  <c r="I829" i="1"/>
  <c r="G829" i="1"/>
  <c r="H829" i="1" s="1"/>
  <c r="L828" i="1"/>
  <c r="M828" i="1" s="1"/>
  <c r="I828" i="1"/>
  <c r="G828" i="1"/>
  <c r="H828" i="1" s="1"/>
  <c r="L827" i="1"/>
  <c r="M827" i="1" s="1"/>
  <c r="I827" i="1"/>
  <c r="G827" i="1"/>
  <c r="H827" i="1" s="1"/>
  <c r="L826" i="1"/>
  <c r="M826" i="1" s="1"/>
  <c r="I826" i="1"/>
  <c r="G826" i="1"/>
  <c r="H826" i="1" s="1"/>
  <c r="L825" i="1"/>
  <c r="M825" i="1" s="1"/>
  <c r="I825" i="1"/>
  <c r="G825" i="1"/>
  <c r="H825" i="1" s="1"/>
  <c r="L824" i="1"/>
  <c r="M824" i="1" s="1"/>
  <c r="I824" i="1"/>
  <c r="G824" i="1"/>
  <c r="H824" i="1" s="1"/>
  <c r="L823" i="1"/>
  <c r="M823" i="1" s="1"/>
  <c r="I823" i="1"/>
  <c r="G823" i="1"/>
  <c r="H823" i="1" s="1"/>
  <c r="L822" i="1"/>
  <c r="M822" i="1" s="1"/>
  <c r="I822" i="1"/>
  <c r="G822" i="1"/>
  <c r="H822" i="1" s="1"/>
  <c r="L821" i="1"/>
  <c r="M821" i="1" s="1"/>
  <c r="I821" i="1"/>
  <c r="G821" i="1"/>
  <c r="H821" i="1" s="1"/>
  <c r="L820" i="1"/>
  <c r="M820" i="1" s="1"/>
  <c r="I820" i="1"/>
  <c r="G820" i="1"/>
  <c r="H820" i="1" s="1"/>
  <c r="L819" i="1"/>
  <c r="M819" i="1" s="1"/>
  <c r="I819" i="1"/>
  <c r="G819" i="1"/>
  <c r="H819" i="1" s="1"/>
  <c r="L818" i="1"/>
  <c r="M818" i="1" s="1"/>
  <c r="I818" i="1"/>
  <c r="G818" i="1"/>
  <c r="H818" i="1" s="1"/>
  <c r="L817" i="1"/>
  <c r="M817" i="1" s="1"/>
  <c r="I817" i="1"/>
  <c r="G817" i="1"/>
  <c r="H817" i="1" s="1"/>
  <c r="L816" i="1"/>
  <c r="M816" i="1" s="1"/>
  <c r="I816" i="1"/>
  <c r="G816" i="1"/>
  <c r="H816" i="1" s="1"/>
  <c r="L815" i="1"/>
  <c r="M815" i="1" s="1"/>
  <c r="I815" i="1"/>
  <c r="G815" i="1"/>
  <c r="H815" i="1" s="1"/>
  <c r="L814" i="1"/>
  <c r="M814" i="1" s="1"/>
  <c r="I814" i="1"/>
  <c r="G814" i="1"/>
  <c r="H814" i="1" s="1"/>
  <c r="L813" i="1"/>
  <c r="M813" i="1" s="1"/>
  <c r="I813" i="1"/>
  <c r="G813" i="1"/>
  <c r="H813" i="1" s="1"/>
  <c r="L812" i="1"/>
  <c r="M812" i="1" s="1"/>
  <c r="I812" i="1"/>
  <c r="G812" i="1"/>
  <c r="H812" i="1" s="1"/>
  <c r="L811" i="1"/>
  <c r="M811" i="1" s="1"/>
  <c r="I811" i="1"/>
  <c r="G811" i="1"/>
  <c r="H811" i="1" s="1"/>
  <c r="L810" i="1"/>
  <c r="M810" i="1" s="1"/>
  <c r="I810" i="1"/>
  <c r="G810" i="1"/>
  <c r="H810" i="1" s="1"/>
  <c r="L809" i="1"/>
  <c r="M809" i="1" s="1"/>
  <c r="I809" i="1"/>
  <c r="G809" i="1"/>
  <c r="H809" i="1" s="1"/>
  <c r="L808" i="1"/>
  <c r="M808" i="1" s="1"/>
  <c r="I808" i="1"/>
  <c r="G808" i="1"/>
  <c r="H808" i="1" s="1"/>
  <c r="L807" i="1"/>
  <c r="M807" i="1" s="1"/>
  <c r="I807" i="1"/>
  <c r="G807" i="1"/>
  <c r="H807" i="1" s="1"/>
  <c r="L806" i="1"/>
  <c r="M806" i="1" s="1"/>
  <c r="I806" i="1"/>
  <c r="G806" i="1"/>
  <c r="H806" i="1" s="1"/>
  <c r="L805" i="1"/>
  <c r="M805" i="1" s="1"/>
  <c r="I805" i="1"/>
  <c r="G805" i="1"/>
  <c r="H805" i="1" s="1"/>
  <c r="L804" i="1"/>
  <c r="M804" i="1" s="1"/>
  <c r="I804" i="1"/>
  <c r="G804" i="1"/>
  <c r="H804" i="1" s="1"/>
  <c r="L803" i="1"/>
  <c r="M803" i="1" s="1"/>
  <c r="I803" i="1"/>
  <c r="G803" i="1"/>
  <c r="H803" i="1" s="1"/>
  <c r="L802" i="1"/>
  <c r="M802" i="1" s="1"/>
  <c r="I802" i="1"/>
  <c r="G802" i="1"/>
  <c r="H802" i="1" s="1"/>
  <c r="L801" i="1"/>
  <c r="M801" i="1" s="1"/>
  <c r="I801" i="1"/>
  <c r="G801" i="1"/>
  <c r="H801" i="1" s="1"/>
  <c r="L800" i="1"/>
  <c r="M800" i="1" s="1"/>
  <c r="I800" i="1"/>
  <c r="G800" i="1"/>
  <c r="H800" i="1" s="1"/>
  <c r="L799" i="1"/>
  <c r="M799" i="1" s="1"/>
  <c r="I799" i="1"/>
  <c r="G799" i="1"/>
  <c r="H799" i="1" s="1"/>
  <c r="L798" i="1"/>
  <c r="M798" i="1" s="1"/>
  <c r="I798" i="1"/>
  <c r="G798" i="1"/>
  <c r="H798" i="1" s="1"/>
  <c r="L797" i="1"/>
  <c r="M797" i="1" s="1"/>
  <c r="I797" i="1"/>
  <c r="G797" i="1"/>
  <c r="H797" i="1" s="1"/>
  <c r="L602" i="1"/>
  <c r="M602" i="1" s="1"/>
  <c r="I602" i="1"/>
  <c r="G602" i="1"/>
  <c r="H602" i="1" s="1"/>
  <c r="L475" i="1"/>
  <c r="M475" i="1" s="1"/>
  <c r="I475" i="1"/>
  <c r="G475" i="1"/>
  <c r="H475" i="1" s="1"/>
  <c r="L474" i="1"/>
  <c r="M474" i="1" s="1"/>
  <c r="I474" i="1"/>
  <c r="G474" i="1"/>
  <c r="H474" i="1" s="1"/>
  <c r="L473" i="1"/>
  <c r="M473" i="1" s="1"/>
  <c r="I473" i="1"/>
  <c r="G473" i="1"/>
  <c r="H473" i="1" s="1"/>
  <c r="L472" i="1"/>
  <c r="M472" i="1" s="1"/>
  <c r="I472" i="1"/>
  <c r="G472" i="1"/>
  <c r="H472" i="1" s="1"/>
  <c r="L528" i="1"/>
  <c r="M528" i="1" s="1"/>
  <c r="I528" i="1"/>
  <c r="G528" i="1"/>
  <c r="H528" i="1" s="1"/>
  <c r="L527" i="1"/>
  <c r="M527" i="1" s="1"/>
  <c r="I527" i="1"/>
  <c r="G527" i="1"/>
  <c r="H527" i="1" s="1"/>
  <c r="L526" i="1"/>
  <c r="M526" i="1" s="1"/>
  <c r="I526" i="1"/>
  <c r="G526" i="1"/>
  <c r="H526" i="1" s="1"/>
  <c r="L525" i="1"/>
  <c r="M525" i="1" s="1"/>
  <c r="I525" i="1"/>
  <c r="G525" i="1"/>
  <c r="H525" i="1" s="1"/>
  <c r="L524" i="1"/>
  <c r="M524" i="1" s="1"/>
  <c r="I524" i="1"/>
  <c r="G524" i="1"/>
  <c r="H524" i="1" s="1"/>
  <c r="L523" i="1"/>
  <c r="M523" i="1" s="1"/>
  <c r="I523" i="1"/>
  <c r="G523" i="1"/>
  <c r="H523" i="1" s="1"/>
  <c r="L522" i="1"/>
  <c r="M522" i="1" s="1"/>
  <c r="I522" i="1"/>
  <c r="G522" i="1"/>
  <c r="H522" i="1" s="1"/>
  <c r="L560" i="1"/>
  <c r="M560" i="1" s="1"/>
  <c r="I560" i="1"/>
  <c r="G560" i="1"/>
  <c r="H560" i="1" s="1"/>
  <c r="L559" i="1"/>
  <c r="M559" i="1" s="1"/>
  <c r="I559" i="1"/>
  <c r="G559" i="1"/>
  <c r="H559" i="1" s="1"/>
  <c r="L558" i="1"/>
  <c r="M558" i="1" s="1"/>
  <c r="I558" i="1"/>
  <c r="G558" i="1"/>
  <c r="H558" i="1" s="1"/>
  <c r="L557" i="1"/>
  <c r="M557" i="1" s="1"/>
  <c r="I557" i="1"/>
  <c r="G557" i="1"/>
  <c r="H557" i="1" s="1"/>
  <c r="L556" i="1"/>
  <c r="M556" i="1" s="1"/>
  <c r="I556" i="1"/>
  <c r="G556" i="1"/>
  <c r="H556" i="1" s="1"/>
  <c r="L555" i="1"/>
  <c r="M555" i="1" s="1"/>
  <c r="I555" i="1"/>
  <c r="G555" i="1"/>
  <c r="H555" i="1" s="1"/>
  <c r="L554" i="1"/>
  <c r="M554" i="1" s="1"/>
  <c r="I554" i="1"/>
  <c r="G554" i="1"/>
  <c r="H554" i="1" s="1"/>
  <c r="L553" i="1"/>
  <c r="M553" i="1" s="1"/>
  <c r="I553" i="1"/>
  <c r="G553" i="1"/>
  <c r="H553" i="1" s="1"/>
  <c r="L552" i="1"/>
  <c r="M552" i="1" s="1"/>
  <c r="I552" i="1"/>
  <c r="G552" i="1"/>
  <c r="H552" i="1" s="1"/>
  <c r="L551" i="1"/>
  <c r="M551" i="1" s="1"/>
  <c r="I551" i="1"/>
  <c r="G551" i="1"/>
  <c r="H551" i="1" s="1"/>
  <c r="L550" i="1"/>
  <c r="M550" i="1" s="1"/>
  <c r="I550" i="1"/>
  <c r="G550" i="1"/>
  <c r="H550" i="1" s="1"/>
  <c r="L549" i="1"/>
  <c r="M549" i="1" s="1"/>
  <c r="I549" i="1"/>
  <c r="G549" i="1"/>
  <c r="H549" i="1" s="1"/>
  <c r="L548" i="1"/>
  <c r="M548" i="1" s="1"/>
  <c r="I548" i="1"/>
  <c r="G548" i="1"/>
  <c r="H548" i="1" s="1"/>
  <c r="L547" i="1"/>
  <c r="M547" i="1" s="1"/>
  <c r="I547" i="1"/>
  <c r="G547" i="1"/>
  <c r="H547" i="1" s="1"/>
  <c r="L546" i="1"/>
  <c r="M546" i="1" s="1"/>
  <c r="I546" i="1"/>
  <c r="G546" i="1"/>
  <c r="H546" i="1" s="1"/>
  <c r="L545" i="1"/>
  <c r="M545" i="1" s="1"/>
  <c r="I545" i="1"/>
  <c r="G545" i="1"/>
  <c r="H545" i="1" s="1"/>
  <c r="L544" i="1"/>
  <c r="M544" i="1" s="1"/>
  <c r="I544" i="1"/>
  <c r="G544" i="1"/>
  <c r="H544" i="1" s="1"/>
  <c r="L543" i="1"/>
  <c r="M543" i="1" s="1"/>
  <c r="I543" i="1"/>
  <c r="G543" i="1"/>
  <c r="H543" i="1" s="1"/>
  <c r="L542" i="1"/>
  <c r="M542" i="1" s="1"/>
  <c r="I542" i="1"/>
  <c r="G542" i="1"/>
  <c r="H542" i="1" s="1"/>
  <c r="L541" i="1"/>
  <c r="M541" i="1" s="1"/>
  <c r="I541" i="1"/>
  <c r="G541" i="1"/>
  <c r="H541" i="1" s="1"/>
  <c r="L540" i="1"/>
  <c r="M540" i="1" s="1"/>
  <c r="I540" i="1"/>
  <c r="G540" i="1"/>
  <c r="H540" i="1" s="1"/>
  <c r="L539" i="1"/>
  <c r="M539" i="1" s="1"/>
  <c r="I539" i="1"/>
  <c r="G539" i="1"/>
  <c r="H539" i="1" s="1"/>
  <c r="L538" i="1"/>
  <c r="M538" i="1" s="1"/>
  <c r="I538" i="1"/>
  <c r="G538" i="1"/>
  <c r="H538" i="1" s="1"/>
  <c r="L537" i="1"/>
  <c r="M537" i="1" s="1"/>
  <c r="I537" i="1"/>
  <c r="G537" i="1"/>
  <c r="H537" i="1" s="1"/>
  <c r="L588" i="4"/>
  <c r="M588" i="4" s="1"/>
  <c r="I588" i="4"/>
  <c r="G588" i="4"/>
  <c r="H588" i="4" s="1"/>
  <c r="L587" i="4"/>
  <c r="M587" i="4" s="1"/>
  <c r="I587" i="4"/>
  <c r="G587" i="4"/>
  <c r="J587" i="4" s="1"/>
  <c r="L586" i="4"/>
  <c r="M586" i="4" s="1"/>
  <c r="I586" i="4"/>
  <c r="G586" i="4"/>
  <c r="H586" i="4" s="1"/>
  <c r="L585" i="4"/>
  <c r="M585" i="4" s="1"/>
  <c r="I585" i="4"/>
  <c r="G585" i="4"/>
  <c r="J585" i="4" s="1"/>
  <c r="L584" i="4"/>
  <c r="M584" i="4" s="1"/>
  <c r="I584" i="4"/>
  <c r="G584" i="4"/>
  <c r="H584" i="4" s="1"/>
  <c r="L583" i="4"/>
  <c r="M583" i="4" s="1"/>
  <c r="I583" i="4"/>
  <c r="G583" i="4"/>
  <c r="J583" i="4" s="1"/>
  <c r="L582" i="4"/>
  <c r="M582" i="4" s="1"/>
  <c r="I582" i="4"/>
  <c r="G582" i="4"/>
  <c r="H582" i="4" s="1"/>
  <c r="L434" i="4"/>
  <c r="M434" i="4" s="1"/>
  <c r="I434" i="4"/>
  <c r="G434" i="4"/>
  <c r="J434" i="4" s="1"/>
  <c r="L433" i="4"/>
  <c r="M433" i="4" s="1"/>
  <c r="I433" i="4"/>
  <c r="G433" i="4"/>
  <c r="J433" i="4" s="1"/>
  <c r="L432" i="4"/>
  <c r="M432" i="4" s="1"/>
  <c r="I432" i="4"/>
  <c r="G432" i="4"/>
  <c r="H432" i="4" s="1"/>
  <c r="L431" i="4"/>
  <c r="M431" i="4" s="1"/>
  <c r="I431" i="4"/>
  <c r="G431" i="4"/>
  <c r="J431" i="4" s="1"/>
  <c r="L430" i="4"/>
  <c r="M430" i="4" s="1"/>
  <c r="I430" i="4"/>
  <c r="G430" i="4"/>
  <c r="J430" i="4" s="1"/>
  <c r="L429" i="4"/>
  <c r="M429" i="4" s="1"/>
  <c r="I429" i="4"/>
  <c r="G429" i="4"/>
  <c r="H429" i="4" s="1"/>
  <c r="L428" i="4"/>
  <c r="M428" i="4" s="1"/>
  <c r="I428" i="4"/>
  <c r="G428" i="4"/>
  <c r="J428" i="4" s="1"/>
  <c r="L427" i="4"/>
  <c r="M427" i="4" s="1"/>
  <c r="I427" i="4"/>
  <c r="G427" i="4"/>
  <c r="J427" i="4" s="1"/>
  <c r="L426" i="4"/>
  <c r="M426" i="4" s="1"/>
  <c r="I426" i="4"/>
  <c r="G426" i="4"/>
  <c r="H426" i="4" s="1"/>
  <c r="L425" i="4"/>
  <c r="M425" i="4" s="1"/>
  <c r="I425" i="4"/>
  <c r="G425" i="4"/>
  <c r="J425" i="4" s="1"/>
  <c r="L424" i="4"/>
  <c r="M424" i="4" s="1"/>
  <c r="I424" i="4"/>
  <c r="G424" i="4"/>
  <c r="J424" i="4" s="1"/>
  <c r="L423" i="4"/>
  <c r="M423" i="4" s="1"/>
  <c r="I423" i="4"/>
  <c r="G423" i="4"/>
  <c r="H423" i="4" s="1"/>
  <c r="L422" i="4"/>
  <c r="M422" i="4" s="1"/>
  <c r="I422" i="4"/>
  <c r="G422" i="4"/>
  <c r="J422" i="4" s="1"/>
  <c r="L421" i="4"/>
  <c r="M421" i="4" s="1"/>
  <c r="I421" i="4"/>
  <c r="G421" i="4"/>
  <c r="J421" i="4" s="1"/>
  <c r="L420" i="4"/>
  <c r="M420" i="4" s="1"/>
  <c r="I420" i="4"/>
  <c r="G420" i="4"/>
  <c r="H420" i="4" s="1"/>
  <c r="L419" i="4"/>
  <c r="M419" i="4" s="1"/>
  <c r="I419" i="4"/>
  <c r="G419" i="4"/>
  <c r="H419" i="4" s="1"/>
  <c r="L418" i="4"/>
  <c r="M418" i="4" s="1"/>
  <c r="I418" i="4"/>
  <c r="G418" i="4"/>
  <c r="J418" i="4" s="1"/>
  <c r="L417" i="4"/>
  <c r="M417" i="4" s="1"/>
  <c r="I417" i="4"/>
  <c r="G417" i="4"/>
  <c r="H417" i="4" s="1"/>
  <c r="L416" i="4"/>
  <c r="M416" i="4" s="1"/>
  <c r="I416" i="4"/>
  <c r="G416" i="4"/>
  <c r="H416" i="4" s="1"/>
  <c r="L415" i="4"/>
  <c r="M415" i="4" s="1"/>
  <c r="I415" i="4"/>
  <c r="G415" i="4"/>
  <c r="J415" i="4" s="1"/>
  <c r="L414" i="4"/>
  <c r="M414" i="4" s="1"/>
  <c r="I414" i="4"/>
  <c r="G414" i="4"/>
  <c r="H414" i="4" s="1"/>
  <c r="L413" i="4"/>
  <c r="M413" i="4" s="1"/>
  <c r="I413" i="4"/>
  <c r="G413" i="4"/>
  <c r="H413" i="4" s="1"/>
  <c r="L412" i="4"/>
  <c r="M412" i="4" s="1"/>
  <c r="I412" i="4"/>
  <c r="G412" i="4"/>
  <c r="J412" i="4" s="1"/>
  <c r="L411" i="4"/>
  <c r="M411" i="4" s="1"/>
  <c r="I411" i="4"/>
  <c r="G411" i="4"/>
  <c r="H411" i="4" s="1"/>
  <c r="L410" i="4"/>
  <c r="M410" i="4" s="1"/>
  <c r="I410" i="4"/>
  <c r="G410" i="4"/>
  <c r="H410" i="4" s="1"/>
  <c r="L409" i="4"/>
  <c r="M409" i="4" s="1"/>
  <c r="I409" i="4"/>
  <c r="G409" i="4"/>
  <c r="J409" i="4" s="1"/>
  <c r="L460" i="1"/>
  <c r="M460" i="1" s="1"/>
  <c r="I460" i="1"/>
  <c r="G460" i="1"/>
  <c r="H460" i="1" s="1"/>
  <c r="L459" i="1"/>
  <c r="M459" i="1" s="1"/>
  <c r="I459" i="1"/>
  <c r="G459" i="1"/>
  <c r="H459" i="1" s="1"/>
  <c r="L458" i="1"/>
  <c r="M458" i="1" s="1"/>
  <c r="I458" i="1"/>
  <c r="G458" i="1"/>
  <c r="H458" i="1" s="1"/>
  <c r="L457" i="1"/>
  <c r="M457" i="1" s="1"/>
  <c r="I457" i="1"/>
  <c r="G457" i="1"/>
  <c r="H457" i="1" s="1"/>
  <c r="L456" i="1"/>
  <c r="M456" i="1" s="1"/>
  <c r="I456" i="1"/>
  <c r="G456" i="1"/>
  <c r="H456" i="1" s="1"/>
  <c r="L455" i="1"/>
  <c r="M455" i="1" s="1"/>
  <c r="I455" i="1"/>
  <c r="G455" i="1"/>
  <c r="H455" i="1" s="1"/>
  <c r="L454" i="1"/>
  <c r="M454" i="1" s="1"/>
  <c r="I454" i="1"/>
  <c r="G454" i="1"/>
  <c r="H454" i="1" s="1"/>
  <c r="L453" i="1"/>
  <c r="M453" i="1" s="1"/>
  <c r="I453" i="1"/>
  <c r="G453" i="1"/>
  <c r="H453" i="1" s="1"/>
  <c r="L452" i="1"/>
  <c r="M452" i="1" s="1"/>
  <c r="I452" i="1"/>
  <c r="G452" i="1"/>
  <c r="H452" i="1" s="1"/>
  <c r="L431" i="1"/>
  <c r="M431" i="1" s="1"/>
  <c r="I431" i="1"/>
  <c r="G431" i="1"/>
  <c r="H431" i="1" s="1"/>
  <c r="L430" i="1"/>
  <c r="M430" i="1" s="1"/>
  <c r="I430" i="1"/>
  <c r="G430" i="1"/>
  <c r="H430" i="1" s="1"/>
  <c r="L429" i="1"/>
  <c r="M429" i="1" s="1"/>
  <c r="I429" i="1"/>
  <c r="G429" i="1"/>
  <c r="H429" i="1" s="1"/>
  <c r="L428" i="1"/>
  <c r="M428" i="1" s="1"/>
  <c r="I428" i="1"/>
  <c r="G428" i="1"/>
  <c r="H428" i="1" s="1"/>
  <c r="L427" i="1"/>
  <c r="M427" i="1" s="1"/>
  <c r="I427" i="1"/>
  <c r="G427" i="1"/>
  <c r="H427" i="1" s="1"/>
  <c r="L426" i="1"/>
  <c r="M426" i="1" s="1"/>
  <c r="I426" i="1"/>
  <c r="G426" i="1"/>
  <c r="H426" i="1" s="1"/>
  <c r="L425" i="1"/>
  <c r="M425" i="1" s="1"/>
  <c r="I425" i="1"/>
  <c r="G425" i="1"/>
  <c r="H425" i="1" s="1"/>
  <c r="L424" i="1"/>
  <c r="M424" i="1" s="1"/>
  <c r="I424" i="1"/>
  <c r="G424" i="1"/>
  <c r="H424" i="1" s="1"/>
  <c r="L423" i="1"/>
  <c r="M423" i="1" s="1"/>
  <c r="I423" i="1"/>
  <c r="G423" i="1"/>
  <c r="H423" i="1" s="1"/>
  <c r="L415" i="1"/>
  <c r="M415" i="1" s="1"/>
  <c r="I415" i="1"/>
  <c r="G415" i="1"/>
  <c r="H415" i="1" s="1"/>
  <c r="L414" i="1"/>
  <c r="M414" i="1" s="1"/>
  <c r="I414" i="1"/>
  <c r="G414" i="1"/>
  <c r="H414" i="1" s="1"/>
  <c r="L413" i="1"/>
  <c r="M413" i="1" s="1"/>
  <c r="I413" i="1"/>
  <c r="G413" i="1"/>
  <c r="H413" i="1" s="1"/>
  <c r="L412" i="1"/>
  <c r="M412" i="1" s="1"/>
  <c r="I412" i="1"/>
  <c r="G412" i="1"/>
  <c r="H412" i="1" s="1"/>
  <c r="L411" i="1"/>
  <c r="M411" i="1" s="1"/>
  <c r="I411" i="1"/>
  <c r="G411" i="1"/>
  <c r="H411" i="1" s="1"/>
  <c r="L410" i="1"/>
  <c r="M410" i="1" s="1"/>
  <c r="I410" i="1"/>
  <c r="G410" i="1"/>
  <c r="H410" i="1" s="1"/>
  <c r="L409" i="1"/>
  <c r="M409" i="1" s="1"/>
  <c r="I409" i="1"/>
  <c r="G409" i="1"/>
  <c r="H409" i="1" s="1"/>
  <c r="L408" i="1"/>
  <c r="M408" i="1" s="1"/>
  <c r="I408" i="1"/>
  <c r="G408" i="1"/>
  <c r="H408" i="1" s="1"/>
  <c r="L407" i="1"/>
  <c r="M407" i="1" s="1"/>
  <c r="I407" i="1"/>
  <c r="G407" i="1"/>
  <c r="H407" i="1" s="1"/>
  <c r="L439" i="1"/>
  <c r="M439" i="1" s="1"/>
  <c r="I439" i="1"/>
  <c r="G439" i="1"/>
  <c r="H439" i="1" s="1"/>
  <c r="L438" i="1"/>
  <c r="M438" i="1" s="1"/>
  <c r="I438" i="1"/>
  <c r="G438" i="1"/>
  <c r="H438" i="1" s="1"/>
  <c r="J586" i="4" l="1"/>
  <c r="J673" i="4"/>
  <c r="J588" i="4"/>
  <c r="J582" i="4"/>
  <c r="J666" i="4"/>
  <c r="J671" i="4"/>
  <c r="H654" i="4"/>
  <c r="H656" i="4"/>
  <c r="H658" i="4"/>
  <c r="J584" i="4"/>
  <c r="J581" i="4"/>
  <c r="J664" i="4"/>
  <c r="J669" i="4"/>
  <c r="J668" i="4"/>
  <c r="J674" i="4"/>
  <c r="H675" i="4"/>
  <c r="J676" i="4"/>
  <c r="H677" i="4"/>
  <c r="J678" i="4"/>
  <c r="H670" i="4"/>
  <c r="H672" i="4"/>
  <c r="H665" i="4"/>
  <c r="H667" i="4"/>
  <c r="J659" i="4"/>
  <c r="H660" i="4"/>
  <c r="J661" i="4"/>
  <c r="H662" i="4"/>
  <c r="J663" i="4"/>
  <c r="H655" i="4"/>
  <c r="H657" i="4"/>
  <c r="H583" i="4"/>
  <c r="H585" i="4"/>
  <c r="H587" i="4"/>
  <c r="J413" i="4"/>
  <c r="J414" i="4"/>
  <c r="J410" i="4"/>
  <c r="J411" i="4"/>
  <c r="H430" i="4"/>
  <c r="J432" i="4"/>
  <c r="J429" i="4"/>
  <c r="H427" i="4"/>
  <c r="H409" i="4"/>
  <c r="J419" i="4"/>
  <c r="J420" i="4"/>
  <c r="H424" i="4"/>
  <c r="J426" i="4"/>
  <c r="J416" i="4"/>
  <c r="J417" i="4"/>
  <c r="H433" i="4"/>
  <c r="H434" i="4"/>
  <c r="J423" i="4"/>
  <c r="H425" i="4"/>
  <c r="H428" i="4"/>
  <c r="H431" i="4"/>
  <c r="H422" i="4"/>
  <c r="H421" i="4"/>
  <c r="H418" i="4"/>
  <c r="H415" i="4"/>
  <c r="H412" i="4"/>
  <c r="L68" i="1"/>
  <c r="M68" i="1" s="1"/>
  <c r="I68" i="1"/>
  <c r="G68" i="1"/>
  <c r="H68" i="1" s="1"/>
  <c r="L67" i="1"/>
  <c r="M67" i="1" s="1"/>
  <c r="I67" i="1"/>
  <c r="G67" i="1"/>
  <c r="H67" i="1" s="1"/>
  <c r="L66" i="1"/>
  <c r="M66" i="1" s="1"/>
  <c r="I66" i="1"/>
  <c r="G66" i="1"/>
  <c r="H66" i="1" s="1"/>
  <c r="L65" i="1"/>
  <c r="M65" i="1" s="1"/>
  <c r="I65" i="1"/>
  <c r="G65" i="1"/>
  <c r="H65" i="1" s="1"/>
  <c r="L64" i="1"/>
  <c r="M64" i="1" s="1"/>
  <c r="I64" i="1"/>
  <c r="G64" i="1"/>
  <c r="H64" i="1" s="1"/>
  <c r="L63" i="1"/>
  <c r="M63" i="1" s="1"/>
  <c r="I63" i="1"/>
  <c r="G63" i="1"/>
  <c r="H63" i="1" s="1"/>
  <c r="L62" i="1"/>
  <c r="M62" i="1" s="1"/>
  <c r="I62" i="1"/>
  <c r="G62" i="1"/>
  <c r="H62" i="1" s="1"/>
  <c r="L61" i="1"/>
  <c r="M61" i="1" s="1"/>
  <c r="I61" i="1"/>
  <c r="G61" i="1"/>
  <c r="H61" i="1" s="1"/>
  <c r="L60" i="1"/>
  <c r="M60" i="1" s="1"/>
  <c r="I60" i="1"/>
  <c r="G60" i="1"/>
  <c r="H60" i="1" s="1"/>
  <c r="L59" i="1"/>
  <c r="M59" i="1" s="1"/>
  <c r="I59" i="1"/>
  <c r="G59" i="1"/>
  <c r="H59" i="1" s="1"/>
  <c r="I653" i="4"/>
  <c r="G653" i="4"/>
  <c r="I652" i="4"/>
  <c r="G652" i="4"/>
  <c r="I651" i="4"/>
  <c r="G651" i="4"/>
  <c r="I650" i="4"/>
  <c r="G650" i="4"/>
  <c r="I649" i="4"/>
  <c r="G649" i="4"/>
  <c r="I648" i="4"/>
  <c r="G648" i="4"/>
  <c r="I647" i="4"/>
  <c r="G647" i="4"/>
  <c r="I646" i="4"/>
  <c r="G646" i="4"/>
  <c r="I645" i="4"/>
  <c r="G645" i="4"/>
  <c r="I644" i="4"/>
  <c r="G644" i="4"/>
  <c r="I643" i="4"/>
  <c r="G643" i="4"/>
  <c r="I642" i="4"/>
  <c r="G642" i="4"/>
  <c r="I641" i="4"/>
  <c r="G641" i="4"/>
  <c r="I640" i="4"/>
  <c r="G640" i="4"/>
  <c r="I639" i="4"/>
  <c r="G639" i="4"/>
  <c r="I638" i="4"/>
  <c r="G638" i="4"/>
  <c r="I637" i="4"/>
  <c r="G637" i="4"/>
  <c r="I624" i="4"/>
  <c r="G624" i="4"/>
  <c r="I623" i="4"/>
  <c r="G623" i="4"/>
  <c r="I622" i="4"/>
  <c r="G622" i="4"/>
  <c r="I621" i="4"/>
  <c r="G621" i="4"/>
  <c r="I620" i="4"/>
  <c r="G620" i="4"/>
  <c r="I619" i="4"/>
  <c r="G619" i="4"/>
  <c r="I589" i="4"/>
  <c r="G589" i="4"/>
  <c r="I580" i="4"/>
  <c r="G580" i="4"/>
  <c r="I579" i="4"/>
  <c r="G579" i="4"/>
  <c r="I578" i="4"/>
  <c r="G578" i="4"/>
  <c r="I577" i="4"/>
  <c r="G577" i="4"/>
  <c r="I576" i="4"/>
  <c r="G576" i="4"/>
  <c r="I575" i="4"/>
  <c r="G575" i="4"/>
  <c r="I574" i="4"/>
  <c r="G574" i="4"/>
  <c r="I573" i="4"/>
  <c r="G573" i="4"/>
  <c r="I572" i="4"/>
  <c r="G572" i="4"/>
  <c r="I571" i="4"/>
  <c r="G571" i="4"/>
  <c r="I570" i="4"/>
  <c r="G570" i="4"/>
  <c r="I569" i="4"/>
  <c r="G569" i="4"/>
  <c r="I568" i="4"/>
  <c r="G568" i="4"/>
  <c r="I567" i="4"/>
  <c r="G567" i="4"/>
  <c r="I566" i="4"/>
  <c r="G566" i="4"/>
  <c r="I565" i="4"/>
  <c r="G565" i="4"/>
  <c r="I564" i="4"/>
  <c r="G564" i="4"/>
  <c r="I563" i="4"/>
  <c r="G563" i="4"/>
  <c r="I562" i="4"/>
  <c r="G562" i="4"/>
  <c r="I561" i="4"/>
  <c r="G561" i="4"/>
  <c r="I560" i="4"/>
  <c r="G560" i="4"/>
  <c r="I559" i="4"/>
  <c r="G559" i="4"/>
  <c r="I558" i="4"/>
  <c r="G558" i="4"/>
  <c r="I557" i="4"/>
  <c r="G557" i="4"/>
  <c r="I556" i="4"/>
  <c r="G556" i="4"/>
  <c r="I555" i="4"/>
  <c r="G555" i="4"/>
  <c r="I554" i="4"/>
  <c r="G554" i="4"/>
  <c r="I553" i="4"/>
  <c r="G553" i="4"/>
  <c r="I552" i="4"/>
  <c r="G552" i="4"/>
  <c r="I551" i="4"/>
  <c r="G551" i="4"/>
  <c r="I550" i="4"/>
  <c r="G550" i="4"/>
  <c r="I549" i="4"/>
  <c r="G549" i="4"/>
  <c r="I548" i="4"/>
  <c r="G548" i="4"/>
  <c r="I547" i="4"/>
  <c r="G547" i="4"/>
  <c r="I546" i="4"/>
  <c r="G546" i="4"/>
  <c r="I545" i="4"/>
  <c r="G545" i="4"/>
  <c r="I544" i="4"/>
  <c r="G544" i="4"/>
  <c r="I543" i="4"/>
  <c r="G543" i="4"/>
  <c r="I542" i="4"/>
  <c r="G542" i="4"/>
  <c r="I541" i="4"/>
  <c r="G541" i="4"/>
  <c r="I540" i="4"/>
  <c r="G540" i="4"/>
  <c r="I539" i="4"/>
  <c r="G539" i="4"/>
  <c r="I538" i="4"/>
  <c r="G538" i="4"/>
  <c r="I537" i="4"/>
  <c r="G537" i="4"/>
  <c r="I536" i="4"/>
  <c r="G536" i="4"/>
  <c r="I535" i="4"/>
  <c r="G535" i="4"/>
  <c r="I534" i="4"/>
  <c r="G534" i="4"/>
  <c r="I533" i="4"/>
  <c r="G533" i="4"/>
  <c r="I532" i="4"/>
  <c r="G532" i="4"/>
  <c r="I531" i="4"/>
  <c r="G531" i="4"/>
  <c r="I530" i="4"/>
  <c r="G530" i="4"/>
  <c r="I529" i="4"/>
  <c r="G529" i="4"/>
  <c r="I528" i="4"/>
  <c r="G528" i="4"/>
  <c r="I527" i="4"/>
  <c r="G527" i="4"/>
  <c r="I526" i="4"/>
  <c r="G526" i="4"/>
  <c r="I525" i="4"/>
  <c r="G525" i="4"/>
  <c r="I524" i="4"/>
  <c r="G524" i="4"/>
  <c r="I523" i="4"/>
  <c r="G523" i="4"/>
  <c r="I522" i="4"/>
  <c r="G522" i="4"/>
  <c r="I521" i="4"/>
  <c r="G521" i="4"/>
  <c r="I520" i="4"/>
  <c r="G520" i="4"/>
  <c r="I519" i="4"/>
  <c r="G519" i="4"/>
  <c r="I518" i="4"/>
  <c r="G518" i="4"/>
  <c r="I517" i="4"/>
  <c r="G517" i="4"/>
  <c r="I516" i="4"/>
  <c r="G516" i="4"/>
  <c r="I515" i="4"/>
  <c r="G515" i="4"/>
  <c r="I514" i="4"/>
  <c r="G514" i="4"/>
  <c r="I513" i="4"/>
  <c r="G513" i="4"/>
  <c r="I512" i="4"/>
  <c r="G512" i="4"/>
  <c r="I511" i="4"/>
  <c r="G511" i="4"/>
  <c r="I510" i="4"/>
  <c r="G510" i="4"/>
  <c r="I509" i="4"/>
  <c r="G509" i="4"/>
  <c r="I508" i="4"/>
  <c r="G508" i="4"/>
  <c r="I507" i="4"/>
  <c r="G507" i="4"/>
  <c r="I506" i="4"/>
  <c r="G506" i="4"/>
  <c r="I505" i="4"/>
  <c r="G505" i="4"/>
  <c r="I504" i="4"/>
  <c r="G504" i="4"/>
  <c r="I503" i="4"/>
  <c r="G503" i="4"/>
  <c r="I502" i="4"/>
  <c r="G502" i="4"/>
  <c r="I501" i="4"/>
  <c r="G501" i="4"/>
  <c r="I500" i="4"/>
  <c r="G500" i="4"/>
  <c r="I499" i="4"/>
  <c r="G499" i="4"/>
  <c r="I498" i="4"/>
  <c r="G498" i="4"/>
  <c r="I497" i="4"/>
  <c r="G497" i="4"/>
  <c r="I496" i="4"/>
  <c r="G496" i="4"/>
  <c r="I495" i="4"/>
  <c r="G495" i="4"/>
  <c r="I494" i="4"/>
  <c r="G494" i="4"/>
  <c r="I493" i="4"/>
  <c r="G493" i="4"/>
  <c r="I492" i="4"/>
  <c r="G492" i="4"/>
  <c r="I491" i="4"/>
  <c r="G491" i="4"/>
  <c r="I490" i="4"/>
  <c r="G490" i="4"/>
  <c r="I489" i="4"/>
  <c r="G489" i="4"/>
  <c r="I488" i="4"/>
  <c r="G488" i="4"/>
  <c r="I487" i="4"/>
  <c r="G487" i="4"/>
  <c r="I486" i="4"/>
  <c r="G486" i="4"/>
  <c r="I485" i="4"/>
  <c r="G485" i="4"/>
  <c r="I484" i="4"/>
  <c r="G484" i="4"/>
  <c r="I483" i="4"/>
  <c r="G483" i="4"/>
  <c r="I482" i="4"/>
  <c r="G482" i="4"/>
  <c r="I481" i="4"/>
  <c r="G481" i="4"/>
  <c r="I480" i="4"/>
  <c r="G480" i="4"/>
  <c r="I479" i="4"/>
  <c r="G479" i="4"/>
  <c r="I478" i="4"/>
  <c r="G478" i="4"/>
  <c r="I477" i="4"/>
  <c r="G477" i="4"/>
  <c r="I476" i="4"/>
  <c r="G476" i="4"/>
  <c r="I475" i="4"/>
  <c r="G475" i="4"/>
  <c r="I474" i="4"/>
  <c r="G474" i="4"/>
  <c r="I473" i="4"/>
  <c r="G473" i="4"/>
  <c r="I472" i="4"/>
  <c r="G472" i="4"/>
  <c r="I471" i="4"/>
  <c r="G471" i="4"/>
  <c r="I470" i="4"/>
  <c r="G470" i="4"/>
  <c r="I469" i="4"/>
  <c r="G469" i="4"/>
  <c r="I468" i="4"/>
  <c r="G468" i="4"/>
  <c r="I467" i="4"/>
  <c r="G467" i="4"/>
  <c r="I466" i="4"/>
  <c r="G466" i="4"/>
  <c r="I465" i="4"/>
  <c r="G465" i="4"/>
  <c r="I464" i="4"/>
  <c r="G464" i="4"/>
  <c r="I463" i="4"/>
  <c r="G463" i="4"/>
  <c r="I462" i="4"/>
  <c r="G462" i="4"/>
  <c r="I461" i="4"/>
  <c r="G461" i="4"/>
  <c r="I460" i="4"/>
  <c r="G460" i="4"/>
  <c r="I459" i="4"/>
  <c r="G459" i="4"/>
  <c r="I458" i="4"/>
  <c r="G458" i="4"/>
  <c r="I457" i="4"/>
  <c r="G457" i="4"/>
  <c r="I456" i="4"/>
  <c r="G456" i="4"/>
  <c r="I455" i="4"/>
  <c r="G455" i="4"/>
  <c r="I454" i="4"/>
  <c r="G454" i="4"/>
  <c r="I453" i="4"/>
  <c r="G453" i="4"/>
  <c r="I452" i="4"/>
  <c r="G452" i="4"/>
  <c r="I451" i="4"/>
  <c r="G451" i="4"/>
  <c r="I450" i="4"/>
  <c r="G450" i="4"/>
  <c r="I449" i="4"/>
  <c r="G449" i="4"/>
  <c r="I448" i="4"/>
  <c r="G448" i="4"/>
  <c r="I447" i="4"/>
  <c r="G447" i="4"/>
  <c r="I446" i="4"/>
  <c r="G446" i="4"/>
  <c r="I445" i="4"/>
  <c r="G445" i="4"/>
  <c r="I444" i="4"/>
  <c r="G444" i="4"/>
  <c r="I443" i="4"/>
  <c r="G443" i="4"/>
  <c r="I442" i="4"/>
  <c r="G442" i="4"/>
  <c r="I441" i="4"/>
  <c r="G441" i="4"/>
  <c r="I440" i="4"/>
  <c r="G440" i="4"/>
  <c r="I439" i="4"/>
  <c r="G439" i="4"/>
  <c r="I438" i="4"/>
  <c r="G438" i="4"/>
  <c r="I437" i="4"/>
  <c r="G437" i="4"/>
  <c r="I436" i="4"/>
  <c r="G436" i="4"/>
  <c r="I435" i="4"/>
  <c r="G435" i="4"/>
  <c r="H435" i="4" s="1"/>
  <c r="I408" i="4"/>
  <c r="G408" i="4"/>
  <c r="H408" i="4" s="1"/>
  <c r="I407" i="4"/>
  <c r="G407" i="4"/>
  <c r="H407" i="4" s="1"/>
  <c r="I406" i="4"/>
  <c r="G406" i="4"/>
  <c r="H406" i="4" s="1"/>
  <c r="I405" i="4"/>
  <c r="G405" i="4"/>
  <c r="H405" i="4" s="1"/>
  <c r="I404" i="4"/>
  <c r="G404" i="4"/>
  <c r="J404" i="4" s="1"/>
  <c r="I403" i="4"/>
  <c r="G403" i="4"/>
  <c r="J403" i="4" s="1"/>
  <c r="I402" i="4"/>
  <c r="G402" i="4"/>
  <c r="J402" i="4" s="1"/>
  <c r="I401" i="4"/>
  <c r="G401" i="4"/>
  <c r="H401" i="4" s="1"/>
  <c r="I400" i="4"/>
  <c r="G400" i="4"/>
  <c r="H400" i="4" s="1"/>
  <c r="I399" i="4"/>
  <c r="G399" i="4"/>
  <c r="H399" i="4" s="1"/>
  <c r="I398" i="4"/>
  <c r="G398" i="4"/>
  <c r="H398" i="4" s="1"/>
  <c r="I397" i="4"/>
  <c r="G397" i="4"/>
  <c r="H397" i="4" s="1"/>
  <c r="I396" i="4"/>
  <c r="G396" i="4"/>
  <c r="H396" i="4" s="1"/>
  <c r="I395" i="4"/>
  <c r="G395" i="4"/>
  <c r="H395" i="4" s="1"/>
  <c r="I394" i="4"/>
  <c r="G394" i="4"/>
  <c r="H394" i="4" s="1"/>
  <c r="I393" i="4"/>
  <c r="G393" i="4"/>
  <c r="H393" i="4" s="1"/>
  <c r="I392" i="4"/>
  <c r="G392" i="4"/>
  <c r="H392" i="4" s="1"/>
  <c r="I391" i="4"/>
  <c r="G391" i="4"/>
  <c r="H391" i="4" s="1"/>
  <c r="I390" i="4"/>
  <c r="G390" i="4"/>
  <c r="H390" i="4" s="1"/>
  <c r="I389" i="4"/>
  <c r="G389" i="4"/>
  <c r="H389" i="4" s="1"/>
  <c r="I388" i="4"/>
  <c r="G388" i="4"/>
  <c r="H388" i="4" s="1"/>
  <c r="I387" i="4"/>
  <c r="G387" i="4"/>
  <c r="H387" i="4" s="1"/>
  <c r="I386" i="4"/>
  <c r="G386" i="4"/>
  <c r="H386" i="4" s="1"/>
  <c r="I385" i="4"/>
  <c r="G385" i="4"/>
  <c r="H385" i="4" s="1"/>
  <c r="I384" i="4"/>
  <c r="G384" i="4"/>
  <c r="H384" i="4" s="1"/>
  <c r="I383" i="4"/>
  <c r="G383" i="4"/>
  <c r="H383" i="4" s="1"/>
  <c r="I382" i="4"/>
  <c r="G382" i="4"/>
  <c r="H382" i="4" s="1"/>
  <c r="I381" i="4"/>
  <c r="G381" i="4"/>
  <c r="H381" i="4" s="1"/>
  <c r="I380" i="4"/>
  <c r="G380" i="4"/>
  <c r="H380" i="4" s="1"/>
  <c r="I379" i="4"/>
  <c r="G379" i="4"/>
  <c r="H379" i="4" s="1"/>
  <c r="I378" i="4"/>
  <c r="G378" i="4"/>
  <c r="H378" i="4" s="1"/>
  <c r="I377" i="4"/>
  <c r="G377" i="4"/>
  <c r="H377" i="4" s="1"/>
  <c r="I376" i="4"/>
  <c r="G376" i="4"/>
  <c r="H376" i="4" s="1"/>
  <c r="I375" i="4"/>
  <c r="G375" i="4"/>
  <c r="H375" i="4" s="1"/>
  <c r="I374" i="4"/>
  <c r="G374" i="4"/>
  <c r="H374" i="4" s="1"/>
  <c r="I373" i="4"/>
  <c r="G373" i="4"/>
  <c r="H373" i="4" s="1"/>
  <c r="I367" i="4"/>
  <c r="G367" i="4"/>
  <c r="H367" i="4" s="1"/>
  <c r="I366" i="4"/>
  <c r="G366" i="4"/>
  <c r="H366" i="4" s="1"/>
  <c r="I365" i="4"/>
  <c r="G365" i="4"/>
  <c r="H365" i="4" s="1"/>
  <c r="I364" i="4"/>
  <c r="G364" i="4"/>
  <c r="H364" i="4" s="1"/>
  <c r="I363" i="4"/>
  <c r="G363" i="4"/>
  <c r="H363" i="4" s="1"/>
  <c r="I362" i="4"/>
  <c r="G362" i="4"/>
  <c r="H362" i="4" s="1"/>
  <c r="I361" i="4"/>
  <c r="G361" i="4"/>
  <c r="H361" i="4" s="1"/>
  <c r="I360" i="4"/>
  <c r="G360" i="4"/>
  <c r="H360" i="4" s="1"/>
  <c r="I359" i="4"/>
  <c r="G359" i="4"/>
  <c r="H359" i="4" s="1"/>
  <c r="I358" i="4"/>
  <c r="G358" i="4"/>
  <c r="H358" i="4" s="1"/>
  <c r="I357" i="4"/>
  <c r="G357" i="4"/>
  <c r="H357" i="4" s="1"/>
  <c r="I356" i="4"/>
  <c r="G356" i="4"/>
  <c r="H356" i="4" s="1"/>
  <c r="I355" i="4"/>
  <c r="G355" i="4"/>
  <c r="I354" i="4"/>
  <c r="G354" i="4"/>
  <c r="H354" i="4" s="1"/>
  <c r="I353" i="4"/>
  <c r="G353" i="4"/>
  <c r="H353" i="4" s="1"/>
  <c r="I352" i="4"/>
  <c r="G352" i="4"/>
  <c r="I351" i="4"/>
  <c r="G351" i="4"/>
  <c r="I350" i="4"/>
  <c r="G350" i="4"/>
  <c r="H350" i="4" s="1"/>
  <c r="I349" i="4"/>
  <c r="G349" i="4"/>
  <c r="H349" i="4" s="1"/>
  <c r="I348" i="4"/>
  <c r="G348" i="4"/>
  <c r="I347" i="4"/>
  <c r="G347" i="4"/>
  <c r="I346" i="4"/>
  <c r="G346" i="4"/>
  <c r="H346" i="4" s="1"/>
  <c r="I345" i="4"/>
  <c r="G345" i="4"/>
  <c r="H345" i="4" s="1"/>
  <c r="I344" i="4"/>
  <c r="G344" i="4"/>
  <c r="I343" i="4"/>
  <c r="G343" i="4"/>
  <c r="I342" i="4"/>
  <c r="G342" i="4"/>
  <c r="H342" i="4" s="1"/>
  <c r="I341" i="4"/>
  <c r="G341" i="4"/>
  <c r="H341" i="4" s="1"/>
  <c r="I340" i="4"/>
  <c r="G340" i="4"/>
  <c r="I339" i="4"/>
  <c r="G339" i="4"/>
  <c r="I338" i="4"/>
  <c r="G338" i="4"/>
  <c r="H338" i="4" s="1"/>
  <c r="I337" i="4"/>
  <c r="G337" i="4"/>
  <c r="H337" i="4" s="1"/>
  <c r="I336" i="4"/>
  <c r="G336" i="4"/>
  <c r="I335" i="4"/>
  <c r="G335" i="4"/>
  <c r="I334" i="4"/>
  <c r="G334" i="4"/>
  <c r="H334" i="4" s="1"/>
  <c r="I333" i="4"/>
  <c r="G333" i="4"/>
  <c r="H333" i="4" s="1"/>
  <c r="I332" i="4"/>
  <c r="G332" i="4"/>
  <c r="I331" i="4"/>
  <c r="G331" i="4"/>
  <c r="I330" i="4"/>
  <c r="G330" i="4"/>
  <c r="H330" i="4" s="1"/>
  <c r="I329" i="4"/>
  <c r="G329" i="4"/>
  <c r="H329" i="4" s="1"/>
  <c r="I328" i="4"/>
  <c r="G328" i="4"/>
  <c r="I327" i="4"/>
  <c r="G327" i="4"/>
  <c r="I326" i="4"/>
  <c r="G326" i="4"/>
  <c r="H326" i="4" s="1"/>
  <c r="I325" i="4"/>
  <c r="G325" i="4"/>
  <c r="H325" i="4" s="1"/>
  <c r="I324" i="4"/>
  <c r="G324" i="4"/>
  <c r="I323" i="4"/>
  <c r="G323" i="4"/>
  <c r="I322" i="4"/>
  <c r="G322" i="4"/>
  <c r="H322" i="4" s="1"/>
  <c r="I321" i="4"/>
  <c r="G321" i="4"/>
  <c r="H321" i="4" s="1"/>
  <c r="I320" i="4"/>
  <c r="G320" i="4"/>
  <c r="I319" i="4"/>
  <c r="G319" i="4"/>
  <c r="I318" i="4"/>
  <c r="G318" i="4"/>
  <c r="H318" i="4" s="1"/>
  <c r="I317" i="4"/>
  <c r="G317" i="4"/>
  <c r="H317" i="4" s="1"/>
  <c r="I316" i="4"/>
  <c r="G316" i="4"/>
  <c r="I315" i="4"/>
  <c r="G315" i="4"/>
  <c r="I314" i="4"/>
  <c r="G314" i="4"/>
  <c r="H314" i="4" s="1"/>
  <c r="I313" i="4"/>
  <c r="G313" i="4"/>
  <c r="H313" i="4" s="1"/>
  <c r="I312" i="4"/>
  <c r="G312" i="4"/>
  <c r="J312" i="4" s="1"/>
  <c r="I311" i="4"/>
  <c r="G311" i="4"/>
  <c r="J311" i="4" s="1"/>
  <c r="I310" i="4"/>
  <c r="G310" i="4"/>
  <c r="J310" i="4" s="1"/>
  <c r="I309" i="4"/>
  <c r="G309" i="4"/>
  <c r="J309" i="4" s="1"/>
  <c r="I308" i="4"/>
  <c r="G308" i="4"/>
  <c r="J308" i="4" s="1"/>
  <c r="I307" i="4"/>
  <c r="G307" i="4"/>
  <c r="J307" i="4" s="1"/>
  <c r="I306" i="4"/>
  <c r="G306" i="4"/>
  <c r="J306" i="4" s="1"/>
  <c r="I305" i="4"/>
  <c r="G305" i="4"/>
  <c r="J305" i="4" s="1"/>
  <c r="I304" i="4"/>
  <c r="G304" i="4"/>
  <c r="J304" i="4" s="1"/>
  <c r="I303" i="4"/>
  <c r="G303" i="4"/>
  <c r="J303" i="4" s="1"/>
  <c r="I302" i="4"/>
  <c r="G302" i="4"/>
  <c r="J302" i="4" s="1"/>
  <c r="I301" i="4"/>
  <c r="G301" i="4"/>
  <c r="J301" i="4" s="1"/>
  <c r="I300" i="4"/>
  <c r="G300" i="4"/>
  <c r="J300" i="4" s="1"/>
  <c r="I299" i="4"/>
  <c r="G299" i="4"/>
  <c r="J299" i="4" s="1"/>
  <c r="I298" i="4"/>
  <c r="G298" i="4"/>
  <c r="J298" i="4" s="1"/>
  <c r="I297" i="4"/>
  <c r="G297" i="4"/>
  <c r="J297" i="4" s="1"/>
  <c r="I296" i="4"/>
  <c r="G296" i="4"/>
  <c r="J296" i="4" s="1"/>
  <c r="I295" i="4"/>
  <c r="G295" i="4"/>
  <c r="J295" i="4" s="1"/>
  <c r="I294" i="4"/>
  <c r="G294" i="4"/>
  <c r="J294" i="4" s="1"/>
  <c r="I293" i="4"/>
  <c r="G293" i="4"/>
  <c r="J293" i="4" s="1"/>
  <c r="I292" i="4"/>
  <c r="G292" i="4"/>
  <c r="J292" i="4" s="1"/>
  <c r="I291" i="4"/>
  <c r="G291" i="4"/>
  <c r="J291" i="4" s="1"/>
  <c r="I290" i="4"/>
  <c r="G290" i="4"/>
  <c r="J290" i="4" s="1"/>
  <c r="I289" i="4"/>
  <c r="G289" i="4"/>
  <c r="J289" i="4" s="1"/>
  <c r="I288" i="4"/>
  <c r="G288" i="4"/>
  <c r="J288" i="4" s="1"/>
  <c r="I287" i="4"/>
  <c r="G287" i="4"/>
  <c r="J287" i="4" s="1"/>
  <c r="I286" i="4"/>
  <c r="G286" i="4"/>
  <c r="J286" i="4" s="1"/>
  <c r="I285" i="4"/>
  <c r="G285" i="4"/>
  <c r="J285" i="4" s="1"/>
  <c r="I284" i="4"/>
  <c r="G284" i="4"/>
  <c r="J284" i="4" s="1"/>
  <c r="I283" i="4"/>
  <c r="G283" i="4"/>
  <c r="J283" i="4" s="1"/>
  <c r="I282" i="4"/>
  <c r="G282" i="4"/>
  <c r="J282" i="4" s="1"/>
  <c r="I281" i="4"/>
  <c r="G281" i="4"/>
  <c r="J281" i="4" s="1"/>
  <c r="I280" i="4"/>
  <c r="G280" i="4"/>
  <c r="J280" i="4" s="1"/>
  <c r="I279" i="4"/>
  <c r="G279" i="4"/>
  <c r="J279" i="4" s="1"/>
  <c r="I278" i="4"/>
  <c r="G278" i="4"/>
  <c r="J278" i="4" s="1"/>
  <c r="I277" i="4"/>
  <c r="G277" i="4"/>
  <c r="J277" i="4" s="1"/>
  <c r="I276" i="4"/>
  <c r="G276" i="4"/>
  <c r="J276" i="4" s="1"/>
  <c r="I275" i="4"/>
  <c r="G275" i="4"/>
  <c r="J275" i="4" s="1"/>
  <c r="I274" i="4"/>
  <c r="G274" i="4"/>
  <c r="J274" i="4" s="1"/>
  <c r="I273" i="4"/>
  <c r="G273" i="4"/>
  <c r="J273" i="4" s="1"/>
  <c r="I272" i="4"/>
  <c r="G272" i="4"/>
  <c r="J272" i="4" s="1"/>
  <c r="I271" i="4"/>
  <c r="G271" i="4"/>
  <c r="J271" i="4" s="1"/>
  <c r="I270" i="4"/>
  <c r="G270" i="4"/>
  <c r="J270" i="4" s="1"/>
  <c r="I269" i="4"/>
  <c r="G269" i="4"/>
  <c r="J269" i="4" s="1"/>
  <c r="I268" i="4"/>
  <c r="G268" i="4"/>
  <c r="J268" i="4" s="1"/>
  <c r="I267" i="4"/>
  <c r="G267" i="4"/>
  <c r="J267" i="4" s="1"/>
  <c r="I266" i="4"/>
  <c r="G266" i="4"/>
  <c r="J266" i="4" s="1"/>
  <c r="I265" i="4"/>
  <c r="G265" i="4"/>
  <c r="J265" i="4" s="1"/>
  <c r="I264" i="4"/>
  <c r="G264" i="4"/>
  <c r="J264" i="4" s="1"/>
  <c r="I263" i="4"/>
  <c r="G263" i="4"/>
  <c r="J263" i="4" s="1"/>
  <c r="I262" i="4"/>
  <c r="G262" i="4"/>
  <c r="J262" i="4" s="1"/>
  <c r="I261" i="4"/>
  <c r="G261" i="4"/>
  <c r="J261" i="4" s="1"/>
  <c r="I260" i="4"/>
  <c r="G260" i="4"/>
  <c r="J260" i="4" s="1"/>
  <c r="I259" i="4"/>
  <c r="G259" i="4"/>
  <c r="I258" i="4"/>
  <c r="G258" i="4"/>
  <c r="I257" i="4"/>
  <c r="G257" i="4"/>
  <c r="H257" i="4" s="1"/>
  <c r="I256" i="4"/>
  <c r="G256" i="4"/>
  <c r="H256" i="4" s="1"/>
  <c r="I255" i="4"/>
  <c r="G255" i="4"/>
  <c r="I254" i="4"/>
  <c r="G254" i="4"/>
  <c r="I253" i="4"/>
  <c r="G253" i="4"/>
  <c r="H253" i="4" s="1"/>
  <c r="I252" i="4"/>
  <c r="G252" i="4"/>
  <c r="H252" i="4" s="1"/>
  <c r="I251" i="4"/>
  <c r="G251" i="4"/>
  <c r="I250" i="4"/>
  <c r="G250" i="4"/>
  <c r="I249" i="4"/>
  <c r="G249" i="4"/>
  <c r="H249" i="4" s="1"/>
  <c r="I248" i="4"/>
  <c r="G248" i="4"/>
  <c r="H248" i="4" s="1"/>
  <c r="I247" i="4"/>
  <c r="G247" i="4"/>
  <c r="I246" i="4"/>
  <c r="G246" i="4"/>
  <c r="I245" i="4"/>
  <c r="G245" i="4"/>
  <c r="H245" i="4" s="1"/>
  <c r="I244" i="4"/>
  <c r="G244" i="4"/>
  <c r="H244" i="4" s="1"/>
  <c r="I243" i="4"/>
  <c r="G243" i="4"/>
  <c r="I242" i="4"/>
  <c r="G242" i="4"/>
  <c r="I241" i="4"/>
  <c r="G241" i="4"/>
  <c r="H241" i="4" s="1"/>
  <c r="I240" i="4"/>
  <c r="G240" i="4"/>
  <c r="H240" i="4" s="1"/>
  <c r="I239" i="4"/>
  <c r="G239" i="4"/>
  <c r="I238" i="4"/>
  <c r="G238" i="4"/>
  <c r="I237" i="4"/>
  <c r="G237" i="4"/>
  <c r="H237" i="4" s="1"/>
  <c r="I236" i="4"/>
  <c r="G236" i="4"/>
  <c r="H236" i="4" s="1"/>
  <c r="I235" i="4"/>
  <c r="G235" i="4"/>
  <c r="I234" i="4"/>
  <c r="G234" i="4"/>
  <c r="H234" i="4" s="1"/>
  <c r="I233" i="4"/>
  <c r="G233" i="4"/>
  <c r="I232" i="4"/>
  <c r="G232" i="4"/>
  <c r="H232" i="4" s="1"/>
  <c r="I231" i="4"/>
  <c r="G231" i="4"/>
  <c r="H231" i="4" s="1"/>
  <c r="I230" i="4"/>
  <c r="G230" i="4"/>
  <c r="I229" i="4"/>
  <c r="G229" i="4"/>
  <c r="I228" i="4"/>
  <c r="G228" i="4"/>
  <c r="H228" i="4" s="1"/>
  <c r="I227" i="4"/>
  <c r="G227" i="4"/>
  <c r="I226" i="4"/>
  <c r="G226" i="4"/>
  <c r="H226" i="4" s="1"/>
  <c r="I225" i="4"/>
  <c r="G225" i="4"/>
  <c r="I224" i="4"/>
  <c r="G224" i="4"/>
  <c r="H224" i="4" s="1"/>
  <c r="I223" i="4"/>
  <c r="G223" i="4"/>
  <c r="H223" i="4" s="1"/>
  <c r="I222" i="4"/>
  <c r="G222" i="4"/>
  <c r="I221" i="4"/>
  <c r="G221" i="4"/>
  <c r="I220" i="4"/>
  <c r="G220" i="4"/>
  <c r="I219" i="4"/>
  <c r="G219" i="4"/>
  <c r="I218" i="4"/>
  <c r="G218" i="4"/>
  <c r="H218" i="4" s="1"/>
  <c r="I217" i="4"/>
  <c r="G217" i="4"/>
  <c r="I216" i="4"/>
  <c r="G216" i="4"/>
  <c r="I215" i="4"/>
  <c r="G215" i="4"/>
  <c r="H215" i="4" s="1"/>
  <c r="I214" i="4"/>
  <c r="G214" i="4"/>
  <c r="I213" i="4"/>
  <c r="G213" i="4"/>
  <c r="I212" i="4"/>
  <c r="G212" i="4"/>
  <c r="I211" i="4"/>
  <c r="G211" i="4"/>
  <c r="I210" i="4"/>
  <c r="G210" i="4"/>
  <c r="H210" i="4" s="1"/>
  <c r="I209" i="4"/>
  <c r="G209" i="4"/>
  <c r="I208" i="4"/>
  <c r="G208" i="4"/>
  <c r="I207" i="4"/>
  <c r="G207" i="4"/>
  <c r="H207" i="4" s="1"/>
  <c r="I206" i="4"/>
  <c r="G206" i="4"/>
  <c r="I205" i="4"/>
  <c r="G205" i="4"/>
  <c r="I204" i="4"/>
  <c r="G204" i="4"/>
  <c r="I203" i="4"/>
  <c r="G203" i="4"/>
  <c r="I202" i="4"/>
  <c r="G202" i="4"/>
  <c r="H202" i="4" s="1"/>
  <c r="I201" i="4"/>
  <c r="G201" i="4"/>
  <c r="I200" i="4"/>
  <c r="G200" i="4"/>
  <c r="I199" i="4"/>
  <c r="G199" i="4"/>
  <c r="H199" i="4" s="1"/>
  <c r="I198" i="4"/>
  <c r="G198" i="4"/>
  <c r="I197" i="4"/>
  <c r="G197" i="4"/>
  <c r="I196" i="4"/>
  <c r="G196" i="4"/>
  <c r="I195" i="4"/>
  <c r="G195" i="4"/>
  <c r="I194" i="4"/>
  <c r="G194" i="4"/>
  <c r="H194" i="4" s="1"/>
  <c r="I193" i="4"/>
  <c r="G193" i="4"/>
  <c r="I192" i="4"/>
  <c r="G192" i="4"/>
  <c r="I191" i="4"/>
  <c r="G191" i="4"/>
  <c r="H191" i="4" s="1"/>
  <c r="I190" i="4"/>
  <c r="G190" i="4"/>
  <c r="I189" i="4"/>
  <c r="G189" i="4"/>
  <c r="H189" i="4" s="1"/>
  <c r="I188" i="4"/>
  <c r="G188" i="4"/>
  <c r="H188" i="4" s="1"/>
  <c r="I187" i="4"/>
  <c r="G187" i="4"/>
  <c r="H187" i="4" s="1"/>
  <c r="I186" i="4"/>
  <c r="G186" i="4"/>
  <c r="H186" i="4" s="1"/>
  <c r="I185" i="4"/>
  <c r="G185" i="4"/>
  <c r="I184" i="4"/>
  <c r="G184" i="4"/>
  <c r="H184" i="4" s="1"/>
  <c r="I183" i="4"/>
  <c r="G183" i="4"/>
  <c r="H183" i="4" s="1"/>
  <c r="I182" i="4"/>
  <c r="G182" i="4"/>
  <c r="H182" i="4" s="1"/>
  <c r="I181" i="4"/>
  <c r="G181" i="4"/>
  <c r="H181" i="4" s="1"/>
  <c r="I180" i="4"/>
  <c r="G180" i="4"/>
  <c r="H180" i="4" s="1"/>
  <c r="I179" i="4"/>
  <c r="G179" i="4"/>
  <c r="H179" i="4" s="1"/>
  <c r="I178" i="4"/>
  <c r="G178" i="4"/>
  <c r="I177" i="4"/>
  <c r="G177" i="4"/>
  <c r="I176" i="4"/>
  <c r="G176" i="4"/>
  <c r="H176" i="4" s="1"/>
  <c r="I175" i="4"/>
  <c r="G175" i="4"/>
  <c r="H175" i="4" s="1"/>
  <c r="I174" i="4"/>
  <c r="G174" i="4"/>
  <c r="H174" i="4" s="1"/>
  <c r="I173" i="4"/>
  <c r="G173" i="4"/>
  <c r="H173" i="4" s="1"/>
  <c r="I172" i="4"/>
  <c r="G172" i="4"/>
  <c r="H172" i="4" s="1"/>
  <c r="I171" i="4"/>
  <c r="G171" i="4"/>
  <c r="H171" i="4" s="1"/>
  <c r="I170" i="4"/>
  <c r="G170" i="4"/>
  <c r="I169" i="4"/>
  <c r="G169" i="4"/>
  <c r="I168" i="4"/>
  <c r="G168" i="4"/>
  <c r="H168" i="4" s="1"/>
  <c r="I167" i="4"/>
  <c r="G167" i="4"/>
  <c r="H167" i="4" s="1"/>
  <c r="I166" i="4"/>
  <c r="G166" i="4"/>
  <c r="H166" i="4" s="1"/>
  <c r="I165" i="4"/>
  <c r="G165" i="4"/>
  <c r="H165" i="4" s="1"/>
  <c r="I164" i="4"/>
  <c r="G164" i="4"/>
  <c r="H164" i="4" s="1"/>
  <c r="I163" i="4"/>
  <c r="G163" i="4"/>
  <c r="H163" i="4" s="1"/>
  <c r="I162" i="4"/>
  <c r="G162" i="4"/>
  <c r="I161" i="4"/>
  <c r="G161" i="4"/>
  <c r="I160" i="4"/>
  <c r="G160" i="4"/>
  <c r="H160" i="4" s="1"/>
  <c r="I159" i="4"/>
  <c r="G159" i="4"/>
  <c r="H159" i="4" s="1"/>
  <c r="I158" i="4"/>
  <c r="G158" i="4"/>
  <c r="H158" i="4" s="1"/>
  <c r="I157" i="4"/>
  <c r="G157" i="4"/>
  <c r="H157" i="4" s="1"/>
  <c r="I156" i="4"/>
  <c r="G156" i="4"/>
  <c r="H156" i="4" s="1"/>
  <c r="I155" i="4"/>
  <c r="G155" i="4"/>
  <c r="H155" i="4" s="1"/>
  <c r="I154" i="4"/>
  <c r="G154" i="4"/>
  <c r="I153" i="4"/>
  <c r="G153" i="4"/>
  <c r="I152" i="4"/>
  <c r="G152" i="4"/>
  <c r="H152" i="4" s="1"/>
  <c r="I151" i="4"/>
  <c r="G151" i="4"/>
  <c r="H151" i="4" s="1"/>
  <c r="I150" i="4"/>
  <c r="G150" i="4"/>
  <c r="H150" i="4" s="1"/>
  <c r="I149" i="4"/>
  <c r="G149" i="4"/>
  <c r="H149" i="4" s="1"/>
  <c r="I148" i="4"/>
  <c r="G148" i="4"/>
  <c r="H148" i="4" s="1"/>
  <c r="I147" i="4"/>
  <c r="G147" i="4"/>
  <c r="H147" i="4" s="1"/>
  <c r="I146" i="4"/>
  <c r="G146" i="4"/>
  <c r="I145" i="4"/>
  <c r="G145" i="4"/>
  <c r="I144" i="4"/>
  <c r="G144" i="4"/>
  <c r="H144" i="4" s="1"/>
  <c r="I143" i="4"/>
  <c r="G143" i="4"/>
  <c r="H143" i="4" s="1"/>
  <c r="I142" i="4"/>
  <c r="G142" i="4"/>
  <c r="H142" i="4" s="1"/>
  <c r="I141" i="4"/>
  <c r="G141" i="4"/>
  <c r="H141" i="4" s="1"/>
  <c r="I140" i="4"/>
  <c r="G140" i="4"/>
  <c r="H140" i="4" s="1"/>
  <c r="I139" i="4"/>
  <c r="G139" i="4"/>
  <c r="H139" i="4" s="1"/>
  <c r="I138" i="4"/>
  <c r="G138" i="4"/>
  <c r="I137" i="4"/>
  <c r="G137" i="4"/>
  <c r="I136" i="4"/>
  <c r="G136" i="4"/>
  <c r="H136" i="4" s="1"/>
  <c r="I135" i="4"/>
  <c r="G135" i="4"/>
  <c r="H135" i="4" s="1"/>
  <c r="I134" i="4"/>
  <c r="G134" i="4"/>
  <c r="H134" i="4" s="1"/>
  <c r="I133" i="4"/>
  <c r="G133" i="4"/>
  <c r="H133" i="4" s="1"/>
  <c r="I132" i="4"/>
  <c r="G132" i="4"/>
  <c r="H132" i="4" s="1"/>
  <c r="I131" i="4"/>
  <c r="G131" i="4"/>
  <c r="H131" i="4" s="1"/>
  <c r="I130" i="4"/>
  <c r="G130" i="4"/>
  <c r="I129" i="4"/>
  <c r="G129" i="4"/>
  <c r="I128" i="4"/>
  <c r="G128" i="4"/>
  <c r="H128" i="4" s="1"/>
  <c r="I127" i="4"/>
  <c r="G127" i="4"/>
  <c r="H127" i="4" s="1"/>
  <c r="I126" i="4"/>
  <c r="G126" i="4"/>
  <c r="H126" i="4" s="1"/>
  <c r="I125" i="4"/>
  <c r="G125" i="4"/>
  <c r="H125" i="4" s="1"/>
  <c r="I124" i="4"/>
  <c r="G124" i="4"/>
  <c r="H124" i="4" s="1"/>
  <c r="I123" i="4"/>
  <c r="G123" i="4"/>
  <c r="H123" i="4" s="1"/>
  <c r="I122" i="4"/>
  <c r="G122" i="4"/>
  <c r="I121" i="4"/>
  <c r="G121" i="4"/>
  <c r="I120" i="4"/>
  <c r="G120" i="4"/>
  <c r="H120" i="4" s="1"/>
  <c r="I119" i="4"/>
  <c r="G119" i="4"/>
  <c r="H119" i="4" s="1"/>
  <c r="I118" i="4"/>
  <c r="G118" i="4"/>
  <c r="H118" i="4" s="1"/>
  <c r="I117" i="4"/>
  <c r="G117" i="4"/>
  <c r="H117" i="4" s="1"/>
  <c r="I116" i="4"/>
  <c r="G116" i="4"/>
  <c r="H116" i="4" s="1"/>
  <c r="I115" i="4"/>
  <c r="G115" i="4"/>
  <c r="H115" i="4" s="1"/>
  <c r="I114" i="4"/>
  <c r="G114" i="4"/>
  <c r="I113" i="4"/>
  <c r="G113" i="4"/>
  <c r="I112" i="4"/>
  <c r="G112" i="4"/>
  <c r="H112" i="4" s="1"/>
  <c r="I111" i="4"/>
  <c r="G111" i="4"/>
  <c r="H111" i="4" s="1"/>
  <c r="I110" i="4"/>
  <c r="G110" i="4"/>
  <c r="H110" i="4" s="1"/>
  <c r="I109" i="4"/>
  <c r="G109" i="4"/>
  <c r="H109" i="4" s="1"/>
  <c r="I108" i="4"/>
  <c r="G108" i="4"/>
  <c r="H108" i="4" s="1"/>
  <c r="I107" i="4"/>
  <c r="G107" i="4"/>
  <c r="H107" i="4" s="1"/>
  <c r="I106" i="4"/>
  <c r="G106" i="4"/>
  <c r="I105" i="4"/>
  <c r="G105" i="4"/>
  <c r="I104" i="4"/>
  <c r="G104" i="4"/>
  <c r="H104" i="4" s="1"/>
  <c r="I103" i="4"/>
  <c r="G103" i="4"/>
  <c r="H103" i="4" s="1"/>
  <c r="I102" i="4"/>
  <c r="G102" i="4"/>
  <c r="H102" i="4" s="1"/>
  <c r="I101" i="4"/>
  <c r="G101" i="4"/>
  <c r="H101" i="4" s="1"/>
  <c r="I100" i="4"/>
  <c r="G100" i="4"/>
  <c r="H100" i="4" s="1"/>
  <c r="I99" i="4"/>
  <c r="G99" i="4"/>
  <c r="H99" i="4" s="1"/>
  <c r="I98" i="4"/>
  <c r="G98" i="4"/>
  <c r="I97" i="4"/>
  <c r="G97" i="4"/>
  <c r="I96" i="4"/>
  <c r="G96" i="4"/>
  <c r="H96" i="4" s="1"/>
  <c r="I95" i="4"/>
  <c r="G95" i="4"/>
  <c r="H95" i="4" s="1"/>
  <c r="I94" i="4"/>
  <c r="G94" i="4"/>
  <c r="H94" i="4" s="1"/>
  <c r="I93" i="4"/>
  <c r="G93" i="4"/>
  <c r="H93" i="4" s="1"/>
  <c r="I92" i="4"/>
  <c r="G92" i="4"/>
  <c r="H92" i="4" s="1"/>
  <c r="I91" i="4"/>
  <c r="G91" i="4"/>
  <c r="H91" i="4" s="1"/>
  <c r="I90" i="4"/>
  <c r="G90" i="4"/>
  <c r="I89" i="4"/>
  <c r="G89" i="4"/>
  <c r="I88" i="4"/>
  <c r="G88" i="4"/>
  <c r="H88" i="4" s="1"/>
  <c r="I87" i="4"/>
  <c r="G87" i="4"/>
  <c r="H87" i="4" s="1"/>
  <c r="I86" i="4"/>
  <c r="G86" i="4"/>
  <c r="H86" i="4" s="1"/>
  <c r="I85" i="4"/>
  <c r="G85" i="4"/>
  <c r="H85" i="4" s="1"/>
  <c r="I84" i="4"/>
  <c r="G84" i="4"/>
  <c r="H84" i="4" s="1"/>
  <c r="I83" i="4"/>
  <c r="G83" i="4"/>
  <c r="H83" i="4" s="1"/>
  <c r="I82" i="4"/>
  <c r="G82" i="4"/>
  <c r="I81" i="4"/>
  <c r="G81" i="4"/>
  <c r="I80" i="4"/>
  <c r="G80" i="4"/>
  <c r="H80" i="4" s="1"/>
  <c r="I79" i="4"/>
  <c r="G79" i="4"/>
  <c r="H79" i="4" s="1"/>
  <c r="I78" i="4"/>
  <c r="G78" i="4"/>
  <c r="H78" i="4" s="1"/>
  <c r="I77" i="4"/>
  <c r="G77" i="4"/>
  <c r="H77" i="4" s="1"/>
  <c r="I76" i="4"/>
  <c r="G76" i="4"/>
  <c r="H76" i="4" s="1"/>
  <c r="I75" i="4"/>
  <c r="G75" i="4"/>
  <c r="H75" i="4" s="1"/>
  <c r="I74" i="4"/>
  <c r="G74" i="4"/>
  <c r="I73" i="4"/>
  <c r="G73" i="4"/>
  <c r="I72" i="4"/>
  <c r="G72" i="4"/>
  <c r="H72" i="4" s="1"/>
  <c r="I71" i="4"/>
  <c r="G71" i="4"/>
  <c r="H71" i="4" s="1"/>
  <c r="I70" i="4"/>
  <c r="G70" i="4"/>
  <c r="H70" i="4" s="1"/>
  <c r="I69" i="4"/>
  <c r="G69" i="4"/>
  <c r="H69" i="4" s="1"/>
  <c r="I68" i="4"/>
  <c r="G68" i="4"/>
  <c r="H68" i="4" s="1"/>
  <c r="I67" i="4"/>
  <c r="G67" i="4"/>
  <c r="H67" i="4" s="1"/>
  <c r="I66" i="4"/>
  <c r="G66" i="4"/>
  <c r="I65" i="4"/>
  <c r="G65" i="4"/>
  <c r="H65" i="4" s="1"/>
  <c r="I64" i="4"/>
  <c r="G64" i="4"/>
  <c r="H64" i="4" s="1"/>
  <c r="I63" i="4"/>
  <c r="G63" i="4"/>
  <c r="H63" i="4" s="1"/>
  <c r="I62" i="4"/>
  <c r="G62" i="4"/>
  <c r="H62" i="4" s="1"/>
  <c r="I61" i="4"/>
  <c r="G61" i="4"/>
  <c r="H61" i="4" s="1"/>
  <c r="I60" i="4"/>
  <c r="G60" i="4"/>
  <c r="H60" i="4" s="1"/>
  <c r="I59" i="4"/>
  <c r="G59" i="4"/>
  <c r="H59" i="4" s="1"/>
  <c r="I58" i="4"/>
  <c r="G58" i="4"/>
  <c r="H58" i="4" s="1"/>
  <c r="I57" i="4"/>
  <c r="G57" i="4"/>
  <c r="H57" i="4" s="1"/>
  <c r="I56" i="4"/>
  <c r="G56" i="4"/>
  <c r="H56" i="4" s="1"/>
  <c r="I55" i="4"/>
  <c r="G55" i="4"/>
  <c r="H55" i="4" s="1"/>
  <c r="I54" i="4"/>
  <c r="G54" i="4"/>
  <c r="H54" i="4" s="1"/>
  <c r="I53" i="4"/>
  <c r="G53" i="4"/>
  <c r="H53" i="4" s="1"/>
  <c r="I52" i="4"/>
  <c r="G52" i="4"/>
  <c r="H52" i="4" s="1"/>
  <c r="I51" i="4"/>
  <c r="G51" i="4"/>
  <c r="H51" i="4" s="1"/>
  <c r="I50" i="4"/>
  <c r="G50" i="4"/>
  <c r="H50" i="4" s="1"/>
  <c r="I49" i="4"/>
  <c r="G49" i="4"/>
  <c r="H49" i="4" s="1"/>
  <c r="I48" i="4"/>
  <c r="G48" i="4"/>
  <c r="H48" i="4" s="1"/>
  <c r="I47" i="4"/>
  <c r="G47" i="4"/>
  <c r="H47" i="4" s="1"/>
  <c r="I46" i="4"/>
  <c r="G46" i="4"/>
  <c r="H46" i="4" s="1"/>
  <c r="I45" i="4"/>
  <c r="G45" i="4"/>
  <c r="H45" i="4" s="1"/>
  <c r="I44" i="4"/>
  <c r="G44" i="4"/>
  <c r="H44" i="4" s="1"/>
  <c r="I43" i="4"/>
  <c r="G43" i="4"/>
  <c r="H43" i="4" s="1"/>
  <c r="I42" i="4"/>
  <c r="G42" i="4"/>
  <c r="H42" i="4" s="1"/>
  <c r="I41" i="4"/>
  <c r="G41" i="4"/>
  <c r="H41" i="4" s="1"/>
  <c r="I40" i="4"/>
  <c r="G40" i="4"/>
  <c r="H40" i="4" s="1"/>
  <c r="I39" i="4"/>
  <c r="G39" i="4"/>
  <c r="H39" i="4" s="1"/>
  <c r="I38" i="4"/>
  <c r="G38" i="4"/>
  <c r="H38" i="4" s="1"/>
  <c r="I37" i="4"/>
  <c r="G37" i="4"/>
  <c r="H37" i="4" s="1"/>
  <c r="I36" i="4"/>
  <c r="G36" i="4"/>
  <c r="H36" i="4" s="1"/>
  <c r="I35" i="4"/>
  <c r="G35" i="4"/>
  <c r="H35" i="4" s="1"/>
  <c r="I34" i="4"/>
  <c r="G34" i="4"/>
  <c r="H34" i="4" s="1"/>
  <c r="I33" i="4"/>
  <c r="G33" i="4"/>
  <c r="H33" i="4" s="1"/>
  <c r="I32" i="4"/>
  <c r="G32" i="4"/>
  <c r="J32" i="4" s="1"/>
  <c r="I31" i="4"/>
  <c r="G31" i="4"/>
  <c r="J31" i="4" s="1"/>
  <c r="I30" i="4"/>
  <c r="G30" i="4"/>
  <c r="J30" i="4" s="1"/>
  <c r="I29" i="4"/>
  <c r="G29" i="4"/>
  <c r="J29" i="4" s="1"/>
  <c r="I28" i="4"/>
  <c r="G28" i="4"/>
  <c r="J28" i="4" s="1"/>
  <c r="I27" i="4"/>
  <c r="G27" i="4"/>
  <c r="J27" i="4" s="1"/>
  <c r="I26" i="4"/>
  <c r="G26" i="4"/>
  <c r="J26" i="4" s="1"/>
  <c r="I25" i="4"/>
  <c r="G25" i="4"/>
  <c r="J25" i="4" s="1"/>
  <c r="I24" i="4"/>
  <c r="G24" i="4"/>
  <c r="J24" i="4" s="1"/>
  <c r="I23" i="4"/>
  <c r="G23" i="4"/>
  <c r="J23" i="4" s="1"/>
  <c r="I22" i="4"/>
  <c r="G22" i="4"/>
  <c r="J22" i="4" s="1"/>
  <c r="I21" i="4"/>
  <c r="G21" i="4"/>
  <c r="J21" i="4" s="1"/>
  <c r="I20" i="4"/>
  <c r="G20" i="4"/>
  <c r="J20" i="4" s="1"/>
  <c r="I19" i="4"/>
  <c r="G19" i="4"/>
  <c r="J19" i="4" s="1"/>
  <c r="I18" i="4"/>
  <c r="G18" i="4"/>
  <c r="J18" i="4" s="1"/>
  <c r="I17" i="4"/>
  <c r="G17" i="4"/>
  <c r="J17" i="4" s="1"/>
  <c r="I16" i="4"/>
  <c r="G16" i="4"/>
  <c r="J16" i="4" s="1"/>
  <c r="I15" i="4"/>
  <c r="G15" i="4"/>
  <c r="J15" i="4" s="1"/>
  <c r="I14" i="4"/>
  <c r="G14" i="4"/>
  <c r="J14" i="4" s="1"/>
  <c r="I13" i="4"/>
  <c r="G13" i="4"/>
  <c r="J13" i="4" s="1"/>
  <c r="I12" i="4"/>
  <c r="G12" i="4"/>
  <c r="J12" i="4" s="1"/>
  <c r="I11" i="4"/>
  <c r="G11" i="4"/>
  <c r="J11" i="4" s="1"/>
  <c r="I10" i="4"/>
  <c r="G10" i="4"/>
  <c r="J10" i="4" s="1"/>
  <c r="I9" i="4"/>
  <c r="G9" i="4"/>
  <c r="J9" i="4" s="1"/>
  <c r="I8" i="4"/>
  <c r="G8" i="4"/>
  <c r="J8" i="4" s="1"/>
  <c r="I796" i="1"/>
  <c r="G796" i="1"/>
  <c r="H796" i="1" s="1"/>
  <c r="I795" i="1"/>
  <c r="G795" i="1"/>
  <c r="H795" i="1" s="1"/>
  <c r="I793" i="1"/>
  <c r="G793" i="1"/>
  <c r="H793" i="1" s="1"/>
  <c r="I792" i="1"/>
  <c r="G792" i="1"/>
  <c r="H792" i="1" s="1"/>
  <c r="I791" i="1"/>
  <c r="G791" i="1"/>
  <c r="H791" i="1" s="1"/>
  <c r="I790" i="1"/>
  <c r="G790" i="1"/>
  <c r="H790" i="1" s="1"/>
  <c r="I789" i="1"/>
  <c r="G789" i="1"/>
  <c r="H789" i="1" s="1"/>
  <c r="I788" i="1"/>
  <c r="G788" i="1"/>
  <c r="H788" i="1" s="1"/>
  <c r="I787" i="1"/>
  <c r="G787" i="1"/>
  <c r="H787" i="1" s="1"/>
  <c r="I786" i="1"/>
  <c r="G786" i="1"/>
  <c r="H786" i="1" s="1"/>
  <c r="I785" i="1"/>
  <c r="G785" i="1"/>
  <c r="H785" i="1" s="1"/>
  <c r="I784" i="1"/>
  <c r="G784" i="1"/>
  <c r="H784" i="1" s="1"/>
  <c r="I783" i="1"/>
  <c r="G783" i="1"/>
  <c r="H783" i="1" s="1"/>
  <c r="I782" i="1"/>
  <c r="G782" i="1"/>
  <c r="H782" i="1" s="1"/>
  <c r="I781" i="1"/>
  <c r="G781" i="1"/>
  <c r="H781" i="1" s="1"/>
  <c r="I780" i="1"/>
  <c r="G780" i="1"/>
  <c r="H780" i="1" s="1"/>
  <c r="I779" i="1"/>
  <c r="G779" i="1"/>
  <c r="H779" i="1" s="1"/>
  <c r="I778" i="1"/>
  <c r="G778" i="1"/>
  <c r="H778" i="1" s="1"/>
  <c r="I777" i="1"/>
  <c r="G777" i="1"/>
  <c r="H777" i="1" s="1"/>
  <c r="I776" i="1"/>
  <c r="G776" i="1"/>
  <c r="H776" i="1" s="1"/>
  <c r="I775" i="1"/>
  <c r="G775" i="1"/>
  <c r="H775" i="1" s="1"/>
  <c r="I774" i="1"/>
  <c r="G774" i="1"/>
  <c r="H774" i="1" s="1"/>
  <c r="I773" i="1"/>
  <c r="G773" i="1"/>
  <c r="H773" i="1" s="1"/>
  <c r="I772" i="1"/>
  <c r="G772" i="1"/>
  <c r="H772" i="1" s="1"/>
  <c r="I771" i="1"/>
  <c r="G771" i="1"/>
  <c r="H771" i="1" s="1"/>
  <c r="I770" i="1"/>
  <c r="G770" i="1"/>
  <c r="H770" i="1" s="1"/>
  <c r="I769" i="1"/>
  <c r="G769" i="1"/>
  <c r="H769" i="1" s="1"/>
  <c r="I768" i="1"/>
  <c r="G768" i="1"/>
  <c r="H768" i="1" s="1"/>
  <c r="I767" i="1"/>
  <c r="G767" i="1"/>
  <c r="H767" i="1" s="1"/>
  <c r="I766" i="1"/>
  <c r="G766" i="1"/>
  <c r="H766" i="1" s="1"/>
  <c r="I765" i="1"/>
  <c r="G765" i="1"/>
  <c r="H765" i="1" s="1"/>
  <c r="I764" i="1"/>
  <c r="G764" i="1"/>
  <c r="H764" i="1" s="1"/>
  <c r="I763" i="1"/>
  <c r="G763" i="1"/>
  <c r="H763" i="1" s="1"/>
  <c r="I762" i="1"/>
  <c r="G762" i="1"/>
  <c r="H762" i="1" s="1"/>
  <c r="I761" i="1"/>
  <c r="G761" i="1"/>
  <c r="H761" i="1" s="1"/>
  <c r="I760" i="1"/>
  <c r="G760" i="1"/>
  <c r="H760" i="1" s="1"/>
  <c r="I759" i="1"/>
  <c r="G759" i="1"/>
  <c r="H759" i="1" s="1"/>
  <c r="I758" i="1"/>
  <c r="G758" i="1"/>
  <c r="H758" i="1" s="1"/>
  <c r="I757" i="1"/>
  <c r="G757" i="1"/>
  <c r="H757" i="1" s="1"/>
  <c r="I756" i="1"/>
  <c r="G756" i="1"/>
  <c r="H756" i="1" s="1"/>
  <c r="I755" i="1"/>
  <c r="G755" i="1"/>
  <c r="H755" i="1" s="1"/>
  <c r="I754" i="1"/>
  <c r="G754" i="1"/>
  <c r="H754" i="1" s="1"/>
  <c r="I753" i="1"/>
  <c r="G753" i="1"/>
  <c r="H753" i="1" s="1"/>
  <c r="I752" i="1"/>
  <c r="G752" i="1"/>
  <c r="H752" i="1" s="1"/>
  <c r="I751" i="1"/>
  <c r="G751" i="1"/>
  <c r="H751" i="1" s="1"/>
  <c r="I750" i="1"/>
  <c r="G750" i="1"/>
  <c r="H750" i="1" s="1"/>
  <c r="I749" i="1"/>
  <c r="G749" i="1"/>
  <c r="H749" i="1" s="1"/>
  <c r="I748" i="1"/>
  <c r="G748" i="1"/>
  <c r="H748" i="1" s="1"/>
  <c r="I747" i="1"/>
  <c r="G747" i="1"/>
  <c r="H747" i="1" s="1"/>
  <c r="I746" i="1"/>
  <c r="G746" i="1"/>
  <c r="H746" i="1" s="1"/>
  <c r="I745" i="1"/>
  <c r="G745" i="1"/>
  <c r="H745" i="1" s="1"/>
  <c r="I722" i="1"/>
  <c r="G722" i="1"/>
  <c r="H722" i="1" s="1"/>
  <c r="I721" i="1"/>
  <c r="G721" i="1"/>
  <c r="H721" i="1" s="1"/>
  <c r="I720" i="1"/>
  <c r="G720" i="1"/>
  <c r="H720" i="1" s="1"/>
  <c r="I719" i="1"/>
  <c r="G719" i="1"/>
  <c r="H719" i="1" s="1"/>
  <c r="I718" i="1"/>
  <c r="G718" i="1"/>
  <c r="H718" i="1" s="1"/>
  <c r="I717" i="1"/>
  <c r="G717" i="1"/>
  <c r="H717" i="1" s="1"/>
  <c r="I716" i="1"/>
  <c r="G716" i="1"/>
  <c r="H716" i="1" s="1"/>
  <c r="I715" i="1"/>
  <c r="G715" i="1"/>
  <c r="H715" i="1" s="1"/>
  <c r="I714" i="1"/>
  <c r="G714" i="1"/>
  <c r="H714" i="1" s="1"/>
  <c r="I713" i="1"/>
  <c r="G713" i="1"/>
  <c r="H713" i="1" s="1"/>
  <c r="I711" i="1"/>
  <c r="G711" i="1"/>
  <c r="H711" i="1" s="1"/>
  <c r="I710" i="1"/>
  <c r="G710" i="1"/>
  <c r="H710" i="1" s="1"/>
  <c r="I709" i="1"/>
  <c r="G709" i="1"/>
  <c r="H709" i="1" s="1"/>
  <c r="I708" i="1"/>
  <c r="G708" i="1"/>
  <c r="H708" i="1" s="1"/>
  <c r="I707" i="1"/>
  <c r="G707" i="1"/>
  <c r="H707" i="1" s="1"/>
  <c r="I706" i="1"/>
  <c r="G706" i="1"/>
  <c r="H706" i="1" s="1"/>
  <c r="I705" i="1"/>
  <c r="G705" i="1"/>
  <c r="H705" i="1" s="1"/>
  <c r="I704" i="1"/>
  <c r="G704" i="1"/>
  <c r="H704" i="1" s="1"/>
  <c r="I703" i="1"/>
  <c r="G703" i="1"/>
  <c r="H703" i="1" s="1"/>
  <c r="I702" i="1"/>
  <c r="G702" i="1"/>
  <c r="H702" i="1" s="1"/>
  <c r="I701" i="1"/>
  <c r="G701" i="1"/>
  <c r="H701" i="1" s="1"/>
  <c r="I700" i="1"/>
  <c r="G700" i="1"/>
  <c r="H700" i="1" s="1"/>
  <c r="I699" i="1"/>
  <c r="G699" i="1"/>
  <c r="H699" i="1" s="1"/>
  <c r="I698" i="1"/>
  <c r="G698" i="1"/>
  <c r="H698" i="1" s="1"/>
  <c r="I697" i="1"/>
  <c r="G697" i="1"/>
  <c r="H697" i="1" s="1"/>
  <c r="I696" i="1"/>
  <c r="G696" i="1"/>
  <c r="H696" i="1" s="1"/>
  <c r="I695" i="1"/>
  <c r="G695" i="1"/>
  <c r="H695" i="1" s="1"/>
  <c r="I694" i="1"/>
  <c r="G694" i="1"/>
  <c r="H694" i="1" s="1"/>
  <c r="I693" i="1"/>
  <c r="G693" i="1"/>
  <c r="H693" i="1" s="1"/>
  <c r="I692" i="1"/>
  <c r="G692" i="1"/>
  <c r="H692" i="1" s="1"/>
  <c r="I691" i="1"/>
  <c r="G691" i="1"/>
  <c r="H691" i="1" s="1"/>
  <c r="I690" i="1"/>
  <c r="G690" i="1"/>
  <c r="H690" i="1" s="1"/>
  <c r="I689" i="1"/>
  <c r="G689" i="1"/>
  <c r="H689" i="1" s="1"/>
  <c r="I688" i="1"/>
  <c r="G688" i="1"/>
  <c r="H688" i="1" s="1"/>
  <c r="I687" i="1"/>
  <c r="G687" i="1"/>
  <c r="H687" i="1" s="1"/>
  <c r="I686" i="1"/>
  <c r="G686" i="1"/>
  <c r="H686" i="1" s="1"/>
  <c r="I685" i="1"/>
  <c r="G685" i="1"/>
  <c r="H685" i="1" s="1"/>
  <c r="I684" i="1"/>
  <c r="G684" i="1"/>
  <c r="H684" i="1" s="1"/>
  <c r="I683" i="1"/>
  <c r="G683" i="1"/>
  <c r="H683" i="1" s="1"/>
  <c r="I682" i="1"/>
  <c r="G682" i="1"/>
  <c r="H682" i="1" s="1"/>
  <c r="I681" i="1"/>
  <c r="G681" i="1"/>
  <c r="H681" i="1" s="1"/>
  <c r="I680" i="1"/>
  <c r="G680" i="1"/>
  <c r="H680" i="1" s="1"/>
  <c r="I679" i="1"/>
  <c r="G679" i="1"/>
  <c r="H679" i="1" s="1"/>
  <c r="I678" i="1"/>
  <c r="G678" i="1"/>
  <c r="H678" i="1" s="1"/>
  <c r="I677" i="1"/>
  <c r="G677" i="1"/>
  <c r="H677" i="1" s="1"/>
  <c r="I676" i="1"/>
  <c r="G676" i="1"/>
  <c r="H676" i="1" s="1"/>
  <c r="I675" i="1"/>
  <c r="G675" i="1"/>
  <c r="H675" i="1" s="1"/>
  <c r="I674" i="1"/>
  <c r="G674" i="1"/>
  <c r="H674" i="1" s="1"/>
  <c r="I673" i="1"/>
  <c r="G673" i="1"/>
  <c r="H673" i="1" s="1"/>
  <c r="I672" i="1"/>
  <c r="G672" i="1"/>
  <c r="H672" i="1" s="1"/>
  <c r="I671" i="1"/>
  <c r="G671" i="1"/>
  <c r="H671" i="1" s="1"/>
  <c r="I670" i="1"/>
  <c r="G670" i="1"/>
  <c r="H670" i="1" s="1"/>
  <c r="I669" i="1"/>
  <c r="G669" i="1"/>
  <c r="H669" i="1" s="1"/>
  <c r="I668" i="1"/>
  <c r="G668" i="1"/>
  <c r="H668" i="1" s="1"/>
  <c r="I667" i="1"/>
  <c r="G667" i="1"/>
  <c r="H667" i="1" s="1"/>
  <c r="I666" i="1"/>
  <c r="G666" i="1"/>
  <c r="H666" i="1" s="1"/>
  <c r="I665" i="1"/>
  <c r="G665" i="1"/>
  <c r="H665" i="1" s="1"/>
  <c r="I664" i="1"/>
  <c r="G664" i="1"/>
  <c r="H664" i="1" s="1"/>
  <c r="I663" i="1"/>
  <c r="G663" i="1"/>
  <c r="H663" i="1" s="1"/>
  <c r="I662" i="1"/>
  <c r="G662" i="1"/>
  <c r="H662" i="1" s="1"/>
  <c r="I661" i="1"/>
  <c r="G661" i="1"/>
  <c r="H661" i="1" s="1"/>
  <c r="I660" i="1"/>
  <c r="G660" i="1"/>
  <c r="H660" i="1" s="1"/>
  <c r="I659" i="1"/>
  <c r="G659" i="1"/>
  <c r="H659" i="1" s="1"/>
  <c r="I658" i="1"/>
  <c r="G658" i="1"/>
  <c r="H658" i="1" s="1"/>
  <c r="I657" i="1"/>
  <c r="G657" i="1"/>
  <c r="H657" i="1" s="1"/>
  <c r="I656" i="1"/>
  <c r="G656" i="1"/>
  <c r="H656" i="1" s="1"/>
  <c r="I655" i="1"/>
  <c r="G655" i="1"/>
  <c r="H655" i="1" s="1"/>
  <c r="I654" i="1"/>
  <c r="G654" i="1"/>
  <c r="H654" i="1" s="1"/>
  <c r="I653" i="1"/>
  <c r="G653" i="1"/>
  <c r="H653" i="1" s="1"/>
  <c r="I652" i="1"/>
  <c r="G652" i="1"/>
  <c r="H652" i="1" s="1"/>
  <c r="I651" i="1"/>
  <c r="G651" i="1"/>
  <c r="H651" i="1" s="1"/>
  <c r="I650" i="1"/>
  <c r="G650" i="1"/>
  <c r="H650" i="1" s="1"/>
  <c r="I649" i="1"/>
  <c r="G649" i="1"/>
  <c r="H649" i="1" s="1"/>
  <c r="I648" i="1"/>
  <c r="G648" i="1"/>
  <c r="H648" i="1" s="1"/>
  <c r="I647" i="1"/>
  <c r="G647" i="1"/>
  <c r="H647" i="1" s="1"/>
  <c r="I646" i="1"/>
  <c r="G646" i="1"/>
  <c r="H646" i="1" s="1"/>
  <c r="I645" i="1"/>
  <c r="G645" i="1"/>
  <c r="H645" i="1" s="1"/>
  <c r="I644" i="1"/>
  <c r="G644" i="1"/>
  <c r="H644" i="1" s="1"/>
  <c r="I643" i="1"/>
  <c r="G643" i="1"/>
  <c r="H643" i="1" s="1"/>
  <c r="I642" i="1"/>
  <c r="G642" i="1"/>
  <c r="H642" i="1" s="1"/>
  <c r="I641" i="1"/>
  <c r="G641" i="1"/>
  <c r="H641" i="1" s="1"/>
  <c r="I640" i="1"/>
  <c r="G640" i="1"/>
  <c r="H640" i="1" s="1"/>
  <c r="I639" i="1"/>
  <c r="G639" i="1"/>
  <c r="H639" i="1" s="1"/>
  <c r="I638" i="1"/>
  <c r="G638" i="1"/>
  <c r="H638" i="1" s="1"/>
  <c r="I637" i="1"/>
  <c r="G637" i="1"/>
  <c r="H637" i="1" s="1"/>
  <c r="I636" i="1"/>
  <c r="G636" i="1"/>
  <c r="H636" i="1" s="1"/>
  <c r="I635" i="1"/>
  <c r="G635" i="1"/>
  <c r="H635" i="1" s="1"/>
  <c r="I634" i="1"/>
  <c r="G634" i="1"/>
  <c r="H634" i="1" s="1"/>
  <c r="I633" i="1"/>
  <c r="G633" i="1"/>
  <c r="H633" i="1" s="1"/>
  <c r="I632" i="1"/>
  <c r="G632" i="1"/>
  <c r="H632" i="1" s="1"/>
  <c r="I631" i="1"/>
  <c r="G631" i="1"/>
  <c r="H631" i="1" s="1"/>
  <c r="I630" i="1"/>
  <c r="G630" i="1"/>
  <c r="H630" i="1" s="1"/>
  <c r="I629" i="1"/>
  <c r="G629" i="1"/>
  <c r="H629" i="1" s="1"/>
  <c r="I628" i="1"/>
  <c r="G628" i="1"/>
  <c r="H628" i="1" s="1"/>
  <c r="I627" i="1"/>
  <c r="G627" i="1"/>
  <c r="H627" i="1" s="1"/>
  <c r="I626" i="1"/>
  <c r="G626" i="1"/>
  <c r="H626" i="1" s="1"/>
  <c r="I625" i="1"/>
  <c r="G625" i="1"/>
  <c r="H625" i="1" s="1"/>
  <c r="I624" i="1"/>
  <c r="G624" i="1"/>
  <c r="H624" i="1" s="1"/>
  <c r="I623" i="1"/>
  <c r="G623" i="1"/>
  <c r="H623" i="1" s="1"/>
  <c r="I622" i="1"/>
  <c r="G622" i="1"/>
  <c r="H622" i="1" s="1"/>
  <c r="I621" i="1"/>
  <c r="G621" i="1"/>
  <c r="H621" i="1" s="1"/>
  <c r="I620" i="1"/>
  <c r="G620" i="1"/>
  <c r="H620" i="1" s="1"/>
  <c r="I619" i="1"/>
  <c r="G619" i="1"/>
  <c r="H619" i="1" s="1"/>
  <c r="I618" i="1"/>
  <c r="G618" i="1"/>
  <c r="H618" i="1" s="1"/>
  <c r="I617" i="1"/>
  <c r="G617" i="1"/>
  <c r="H617" i="1" s="1"/>
  <c r="I616" i="1"/>
  <c r="G616" i="1"/>
  <c r="H616" i="1" s="1"/>
  <c r="I615" i="1"/>
  <c r="G615" i="1"/>
  <c r="H615" i="1" s="1"/>
  <c r="I614" i="1"/>
  <c r="G614" i="1"/>
  <c r="H614" i="1" s="1"/>
  <c r="I613" i="1"/>
  <c r="G613" i="1"/>
  <c r="H613" i="1" s="1"/>
  <c r="I612" i="1"/>
  <c r="G612" i="1"/>
  <c r="H612" i="1" s="1"/>
  <c r="I611" i="1"/>
  <c r="G611" i="1"/>
  <c r="H611" i="1" s="1"/>
  <c r="I610" i="1"/>
  <c r="G610" i="1"/>
  <c r="H610" i="1" s="1"/>
  <c r="I609" i="1"/>
  <c r="G609" i="1"/>
  <c r="H609" i="1" s="1"/>
  <c r="I608" i="1"/>
  <c r="G608" i="1"/>
  <c r="H608" i="1" s="1"/>
  <c r="I607" i="1"/>
  <c r="G607" i="1"/>
  <c r="H607" i="1" s="1"/>
  <c r="I606" i="1"/>
  <c r="G606" i="1"/>
  <c r="H606" i="1" s="1"/>
  <c r="I605" i="1"/>
  <c r="G605" i="1"/>
  <c r="H605" i="1" s="1"/>
  <c r="I604" i="1"/>
  <c r="G604" i="1"/>
  <c r="H604" i="1" s="1"/>
  <c r="I603" i="1"/>
  <c r="G603" i="1"/>
  <c r="H603" i="1" s="1"/>
  <c r="I601" i="1"/>
  <c r="G601" i="1"/>
  <c r="H601" i="1" s="1"/>
  <c r="I600" i="1"/>
  <c r="G600" i="1"/>
  <c r="H600" i="1" s="1"/>
  <c r="I599" i="1"/>
  <c r="G599" i="1"/>
  <c r="H599" i="1" s="1"/>
  <c r="I598" i="1"/>
  <c r="G598" i="1"/>
  <c r="H598" i="1" s="1"/>
  <c r="I597" i="1"/>
  <c r="G597" i="1"/>
  <c r="H597" i="1" s="1"/>
  <c r="I596" i="1"/>
  <c r="G596" i="1"/>
  <c r="H596" i="1" s="1"/>
  <c r="I595" i="1"/>
  <c r="G595" i="1"/>
  <c r="H595" i="1" s="1"/>
  <c r="I594" i="1"/>
  <c r="G594" i="1"/>
  <c r="H594" i="1" s="1"/>
  <c r="I593" i="1"/>
  <c r="G593" i="1"/>
  <c r="H593" i="1" s="1"/>
  <c r="I592" i="1"/>
  <c r="G592" i="1"/>
  <c r="H592" i="1" s="1"/>
  <c r="I591" i="1"/>
  <c r="G591" i="1"/>
  <c r="H591" i="1" s="1"/>
  <c r="I590" i="1"/>
  <c r="G590" i="1"/>
  <c r="H590" i="1" s="1"/>
  <c r="I589" i="1"/>
  <c r="G589" i="1"/>
  <c r="H589" i="1" s="1"/>
  <c r="I588" i="1"/>
  <c r="G588" i="1"/>
  <c r="H588" i="1" s="1"/>
  <c r="I587" i="1"/>
  <c r="G587" i="1"/>
  <c r="H587" i="1" s="1"/>
  <c r="I586" i="1"/>
  <c r="G586" i="1"/>
  <c r="H586" i="1" s="1"/>
  <c r="I585" i="1"/>
  <c r="G585" i="1"/>
  <c r="H585" i="1" s="1"/>
  <c r="I584" i="1"/>
  <c r="G584" i="1"/>
  <c r="H584" i="1" s="1"/>
  <c r="I583" i="1"/>
  <c r="G583" i="1"/>
  <c r="H583" i="1" s="1"/>
  <c r="I582" i="1"/>
  <c r="G582" i="1"/>
  <c r="H582" i="1" s="1"/>
  <c r="I581" i="1"/>
  <c r="G581" i="1"/>
  <c r="H581" i="1" s="1"/>
  <c r="I580" i="1"/>
  <c r="G580" i="1"/>
  <c r="H580" i="1" s="1"/>
  <c r="I579" i="1"/>
  <c r="G579" i="1"/>
  <c r="H579" i="1" s="1"/>
  <c r="I578" i="1"/>
  <c r="G578" i="1"/>
  <c r="H578" i="1" s="1"/>
  <c r="I577" i="1"/>
  <c r="G577" i="1"/>
  <c r="H577" i="1" s="1"/>
  <c r="I576" i="1"/>
  <c r="G576" i="1"/>
  <c r="H576" i="1" s="1"/>
  <c r="I575" i="1"/>
  <c r="G575" i="1"/>
  <c r="H575" i="1" s="1"/>
  <c r="I574" i="1"/>
  <c r="G574" i="1"/>
  <c r="H574" i="1" s="1"/>
  <c r="I573" i="1"/>
  <c r="G573" i="1"/>
  <c r="H573" i="1" s="1"/>
  <c r="I572" i="1"/>
  <c r="G572" i="1"/>
  <c r="H572" i="1" s="1"/>
  <c r="I571" i="1"/>
  <c r="G571" i="1"/>
  <c r="H571" i="1" s="1"/>
  <c r="I570" i="1"/>
  <c r="G570" i="1"/>
  <c r="H570" i="1" s="1"/>
  <c r="I569" i="1"/>
  <c r="G569" i="1"/>
  <c r="H569" i="1" s="1"/>
  <c r="I568" i="1"/>
  <c r="G568" i="1"/>
  <c r="H568" i="1" s="1"/>
  <c r="I567" i="1"/>
  <c r="G567" i="1"/>
  <c r="H567" i="1" s="1"/>
  <c r="I566" i="1"/>
  <c r="G566" i="1"/>
  <c r="H566" i="1" s="1"/>
  <c r="I565" i="1"/>
  <c r="G565" i="1"/>
  <c r="H565" i="1" s="1"/>
  <c r="I564" i="1"/>
  <c r="G564" i="1"/>
  <c r="H564" i="1" s="1"/>
  <c r="I563" i="1"/>
  <c r="G563" i="1"/>
  <c r="H563" i="1" s="1"/>
  <c r="I562" i="1"/>
  <c r="G562" i="1"/>
  <c r="H562" i="1" s="1"/>
  <c r="I561" i="1"/>
  <c r="G561" i="1"/>
  <c r="H561" i="1" s="1"/>
  <c r="I536" i="1"/>
  <c r="G536" i="1"/>
  <c r="H536" i="1" s="1"/>
  <c r="I535" i="1"/>
  <c r="G535" i="1"/>
  <c r="H535" i="1" s="1"/>
  <c r="I534" i="1"/>
  <c r="G534" i="1"/>
  <c r="H534" i="1" s="1"/>
  <c r="I533" i="1"/>
  <c r="G533" i="1"/>
  <c r="H533" i="1" s="1"/>
  <c r="I532" i="1"/>
  <c r="G532" i="1"/>
  <c r="H532" i="1" s="1"/>
  <c r="I531" i="1"/>
  <c r="G531" i="1"/>
  <c r="H531" i="1" s="1"/>
  <c r="I530" i="1"/>
  <c r="G530" i="1"/>
  <c r="H530" i="1" s="1"/>
  <c r="I529" i="1"/>
  <c r="G529" i="1"/>
  <c r="H529" i="1" s="1"/>
  <c r="I521" i="1"/>
  <c r="G521" i="1"/>
  <c r="H521" i="1" s="1"/>
  <c r="I520" i="1"/>
  <c r="G520" i="1"/>
  <c r="H520" i="1" s="1"/>
  <c r="I519" i="1"/>
  <c r="G519" i="1"/>
  <c r="H519" i="1" s="1"/>
  <c r="I518" i="1"/>
  <c r="G518" i="1"/>
  <c r="H518" i="1" s="1"/>
  <c r="I517" i="1"/>
  <c r="G517" i="1"/>
  <c r="H517" i="1" s="1"/>
  <c r="I516" i="1"/>
  <c r="G516" i="1"/>
  <c r="H516" i="1" s="1"/>
  <c r="I515" i="1"/>
  <c r="G515" i="1"/>
  <c r="H515" i="1" s="1"/>
  <c r="I514" i="1"/>
  <c r="G514" i="1"/>
  <c r="H514" i="1" s="1"/>
  <c r="I513" i="1"/>
  <c r="G513" i="1"/>
  <c r="H513" i="1" s="1"/>
  <c r="I512" i="1"/>
  <c r="G512" i="1"/>
  <c r="H512" i="1" s="1"/>
  <c r="I511" i="1"/>
  <c r="G511" i="1"/>
  <c r="H511" i="1" s="1"/>
  <c r="I510" i="1"/>
  <c r="G510" i="1"/>
  <c r="H510" i="1" s="1"/>
  <c r="I509" i="1"/>
  <c r="G509" i="1"/>
  <c r="H509" i="1" s="1"/>
  <c r="I508" i="1"/>
  <c r="G508" i="1"/>
  <c r="H508" i="1" s="1"/>
  <c r="I507" i="1"/>
  <c r="G507" i="1"/>
  <c r="H507" i="1" s="1"/>
  <c r="I506" i="1"/>
  <c r="G506" i="1"/>
  <c r="H506" i="1" s="1"/>
  <c r="I505" i="1"/>
  <c r="G505" i="1"/>
  <c r="H505" i="1" s="1"/>
  <c r="I504" i="1"/>
  <c r="G504" i="1"/>
  <c r="H504" i="1" s="1"/>
  <c r="I503" i="1"/>
  <c r="G503" i="1"/>
  <c r="H503" i="1" s="1"/>
  <c r="I502" i="1"/>
  <c r="G502" i="1"/>
  <c r="H502" i="1" s="1"/>
  <c r="I501" i="1"/>
  <c r="G501" i="1"/>
  <c r="H501" i="1" s="1"/>
  <c r="I500" i="1"/>
  <c r="G500" i="1"/>
  <c r="H500" i="1" s="1"/>
  <c r="I499" i="1"/>
  <c r="G499" i="1"/>
  <c r="H499" i="1" s="1"/>
  <c r="I498" i="1"/>
  <c r="G498" i="1"/>
  <c r="H498" i="1" s="1"/>
  <c r="I497" i="1"/>
  <c r="G497" i="1"/>
  <c r="H497" i="1" s="1"/>
  <c r="I496" i="1"/>
  <c r="G496" i="1"/>
  <c r="H496" i="1" s="1"/>
  <c r="I495" i="1"/>
  <c r="G495" i="1"/>
  <c r="H495" i="1" s="1"/>
  <c r="I494" i="1"/>
  <c r="G494" i="1"/>
  <c r="H494" i="1" s="1"/>
  <c r="I493" i="1"/>
  <c r="G493" i="1"/>
  <c r="H493" i="1" s="1"/>
  <c r="I492" i="1"/>
  <c r="G492" i="1"/>
  <c r="H492" i="1" s="1"/>
  <c r="I491" i="1"/>
  <c r="G491" i="1"/>
  <c r="H491" i="1" s="1"/>
  <c r="I490" i="1"/>
  <c r="G490" i="1"/>
  <c r="H490" i="1" s="1"/>
  <c r="I489" i="1"/>
  <c r="G489" i="1"/>
  <c r="H489" i="1" s="1"/>
  <c r="I488" i="1"/>
  <c r="G488" i="1"/>
  <c r="H488" i="1" s="1"/>
  <c r="I487" i="1"/>
  <c r="G487" i="1"/>
  <c r="H487" i="1" s="1"/>
  <c r="I486" i="1"/>
  <c r="G486" i="1"/>
  <c r="H486" i="1" s="1"/>
  <c r="I485" i="1"/>
  <c r="G485" i="1"/>
  <c r="H485" i="1" s="1"/>
  <c r="I484" i="1"/>
  <c r="G484" i="1"/>
  <c r="H484" i="1" s="1"/>
  <c r="I483" i="1"/>
  <c r="G483" i="1"/>
  <c r="H483" i="1" s="1"/>
  <c r="I482" i="1"/>
  <c r="G482" i="1"/>
  <c r="H482" i="1" s="1"/>
  <c r="I481" i="1"/>
  <c r="G481" i="1"/>
  <c r="H481" i="1" s="1"/>
  <c r="I480" i="1"/>
  <c r="G480" i="1"/>
  <c r="H480" i="1" s="1"/>
  <c r="I479" i="1"/>
  <c r="G479" i="1"/>
  <c r="H479" i="1" s="1"/>
  <c r="I478" i="1"/>
  <c r="G478" i="1"/>
  <c r="H478" i="1" s="1"/>
  <c r="I477" i="1"/>
  <c r="G477" i="1"/>
  <c r="H477" i="1" s="1"/>
  <c r="I476" i="1"/>
  <c r="G476" i="1"/>
  <c r="H476" i="1" s="1"/>
  <c r="I471" i="1"/>
  <c r="G471" i="1"/>
  <c r="H471" i="1" s="1"/>
  <c r="I470" i="1"/>
  <c r="G470" i="1"/>
  <c r="H470" i="1" s="1"/>
  <c r="I469" i="1"/>
  <c r="G469" i="1"/>
  <c r="H469" i="1" s="1"/>
  <c r="I468" i="1"/>
  <c r="G468" i="1"/>
  <c r="H468" i="1" s="1"/>
  <c r="I467" i="1"/>
  <c r="G467" i="1"/>
  <c r="H467" i="1" s="1"/>
  <c r="I466" i="1"/>
  <c r="G466" i="1"/>
  <c r="H466" i="1" s="1"/>
  <c r="I465" i="1"/>
  <c r="G465" i="1"/>
  <c r="H465" i="1" s="1"/>
  <c r="I464" i="1"/>
  <c r="G464" i="1"/>
  <c r="H464" i="1" s="1"/>
  <c r="I463" i="1"/>
  <c r="G463" i="1"/>
  <c r="H463" i="1" s="1"/>
  <c r="I462" i="1"/>
  <c r="G462" i="1"/>
  <c r="H462" i="1" s="1"/>
  <c r="I461" i="1"/>
  <c r="G461" i="1"/>
  <c r="H461" i="1" s="1"/>
  <c r="I451" i="1"/>
  <c r="G451" i="1"/>
  <c r="H451" i="1" s="1"/>
  <c r="I450" i="1"/>
  <c r="G450" i="1"/>
  <c r="H450" i="1" s="1"/>
  <c r="I449" i="1"/>
  <c r="G449" i="1"/>
  <c r="H449" i="1" s="1"/>
  <c r="I448" i="1"/>
  <c r="G448" i="1"/>
  <c r="H448" i="1" s="1"/>
  <c r="I447" i="1"/>
  <c r="G447" i="1"/>
  <c r="H447" i="1" s="1"/>
  <c r="I446" i="1"/>
  <c r="G446" i="1"/>
  <c r="H446" i="1" s="1"/>
  <c r="I445" i="1"/>
  <c r="G445" i="1"/>
  <c r="H445" i="1" s="1"/>
  <c r="I444" i="1"/>
  <c r="G444" i="1"/>
  <c r="H444" i="1" s="1"/>
  <c r="I443" i="1"/>
  <c r="G443" i="1"/>
  <c r="H443" i="1" s="1"/>
  <c r="I442" i="1"/>
  <c r="G442" i="1"/>
  <c r="H442" i="1" s="1"/>
  <c r="I441" i="1"/>
  <c r="G441" i="1"/>
  <c r="H441" i="1" s="1"/>
  <c r="I440" i="1"/>
  <c r="G440" i="1"/>
  <c r="H440" i="1" s="1"/>
  <c r="I437" i="1"/>
  <c r="G437" i="1"/>
  <c r="H437" i="1" s="1"/>
  <c r="I436" i="1"/>
  <c r="G436" i="1"/>
  <c r="H436" i="1" s="1"/>
  <c r="I435" i="1"/>
  <c r="G435" i="1"/>
  <c r="H435" i="1" s="1"/>
  <c r="I434" i="1"/>
  <c r="G434" i="1"/>
  <c r="H434" i="1" s="1"/>
  <c r="I433" i="1"/>
  <c r="G433" i="1"/>
  <c r="H433" i="1" s="1"/>
  <c r="I432" i="1"/>
  <c r="G432" i="1"/>
  <c r="H432" i="1" s="1"/>
  <c r="I422" i="1"/>
  <c r="G422" i="1"/>
  <c r="H422" i="1" s="1"/>
  <c r="I421" i="1"/>
  <c r="G421" i="1"/>
  <c r="H421" i="1" s="1"/>
  <c r="I420" i="1"/>
  <c r="G420" i="1"/>
  <c r="H420" i="1" s="1"/>
  <c r="I419" i="1"/>
  <c r="G419" i="1"/>
  <c r="H419" i="1" s="1"/>
  <c r="I418" i="1"/>
  <c r="G418" i="1"/>
  <c r="H418" i="1" s="1"/>
  <c r="I417" i="1"/>
  <c r="G417" i="1"/>
  <c r="H417" i="1" s="1"/>
  <c r="I416" i="1"/>
  <c r="G416" i="1"/>
  <c r="H416" i="1" s="1"/>
  <c r="I406" i="1"/>
  <c r="G406" i="1"/>
  <c r="H406" i="1" s="1"/>
  <c r="I405" i="1"/>
  <c r="G405" i="1"/>
  <c r="H405" i="1" s="1"/>
  <c r="I404" i="1"/>
  <c r="G404" i="1"/>
  <c r="H404" i="1" s="1"/>
  <c r="I403" i="1"/>
  <c r="G403" i="1"/>
  <c r="H403" i="1" s="1"/>
  <c r="I402" i="1"/>
  <c r="G402" i="1"/>
  <c r="H402" i="1" s="1"/>
  <c r="I401" i="1"/>
  <c r="G401" i="1"/>
  <c r="H401" i="1" s="1"/>
  <c r="I400" i="1"/>
  <c r="G400" i="1"/>
  <c r="H400" i="1" s="1"/>
  <c r="I399" i="1"/>
  <c r="G399" i="1"/>
  <c r="H399" i="1" s="1"/>
  <c r="I398" i="1"/>
  <c r="G398" i="1"/>
  <c r="H398" i="1" s="1"/>
  <c r="I397" i="1"/>
  <c r="G397" i="1"/>
  <c r="H397" i="1" s="1"/>
  <c r="I396" i="1"/>
  <c r="G396" i="1"/>
  <c r="H396" i="1" s="1"/>
  <c r="I395" i="1"/>
  <c r="G395" i="1"/>
  <c r="H395" i="1" s="1"/>
  <c r="I394" i="1"/>
  <c r="G394" i="1"/>
  <c r="H394" i="1" s="1"/>
  <c r="I393" i="1"/>
  <c r="G393" i="1"/>
  <c r="H393" i="1" s="1"/>
  <c r="I392" i="1"/>
  <c r="G392" i="1"/>
  <c r="H392" i="1" s="1"/>
  <c r="I391" i="1"/>
  <c r="G391" i="1"/>
  <c r="H391" i="1" s="1"/>
  <c r="I390" i="1"/>
  <c r="G390" i="1"/>
  <c r="H390" i="1" s="1"/>
  <c r="I389" i="1"/>
  <c r="G389" i="1"/>
  <c r="H389" i="1" s="1"/>
  <c r="I388" i="1"/>
  <c r="G388" i="1"/>
  <c r="H388" i="1" s="1"/>
  <c r="I387" i="1"/>
  <c r="G387" i="1"/>
  <c r="H387" i="1" s="1"/>
  <c r="I386" i="1"/>
  <c r="G386" i="1"/>
  <c r="H386" i="1" s="1"/>
  <c r="I385" i="1"/>
  <c r="G385" i="1"/>
  <c r="H385" i="1" s="1"/>
  <c r="I384" i="1"/>
  <c r="G384" i="1"/>
  <c r="H384" i="1" s="1"/>
  <c r="I383" i="1"/>
  <c r="G383" i="1"/>
  <c r="H383" i="1" s="1"/>
  <c r="I382" i="1"/>
  <c r="G382" i="1"/>
  <c r="H382" i="1" s="1"/>
  <c r="I381" i="1"/>
  <c r="G381" i="1"/>
  <c r="H381" i="1" s="1"/>
  <c r="I380" i="1"/>
  <c r="G380" i="1"/>
  <c r="H380" i="1" s="1"/>
  <c r="I379" i="1"/>
  <c r="G379" i="1"/>
  <c r="H379" i="1" s="1"/>
  <c r="I378" i="1"/>
  <c r="G378" i="1"/>
  <c r="H378" i="1" s="1"/>
  <c r="I377" i="1"/>
  <c r="G377" i="1"/>
  <c r="H377" i="1" s="1"/>
  <c r="I376" i="1"/>
  <c r="G376" i="1"/>
  <c r="H376" i="1" s="1"/>
  <c r="I375" i="1"/>
  <c r="G375" i="1"/>
  <c r="H375" i="1" s="1"/>
  <c r="I374" i="1"/>
  <c r="G374" i="1"/>
  <c r="H374" i="1" s="1"/>
  <c r="I373" i="1"/>
  <c r="G373" i="1"/>
  <c r="H373" i="1" s="1"/>
  <c r="I372" i="1"/>
  <c r="G372" i="1"/>
  <c r="H372" i="1" s="1"/>
  <c r="I371" i="1"/>
  <c r="G371" i="1"/>
  <c r="H371" i="1" s="1"/>
  <c r="I370" i="1"/>
  <c r="G370" i="1"/>
  <c r="H370" i="1" s="1"/>
  <c r="I369" i="1"/>
  <c r="G369" i="1"/>
  <c r="H369" i="1" s="1"/>
  <c r="I368" i="1"/>
  <c r="G368" i="1"/>
  <c r="H368" i="1" s="1"/>
  <c r="I367" i="1"/>
  <c r="G367" i="1"/>
  <c r="H367" i="1" s="1"/>
  <c r="I366" i="1"/>
  <c r="G366" i="1"/>
  <c r="H366" i="1" s="1"/>
  <c r="I365" i="1"/>
  <c r="G365" i="1"/>
  <c r="H365" i="1" s="1"/>
  <c r="I364" i="1"/>
  <c r="G364" i="1"/>
  <c r="H364" i="1" s="1"/>
  <c r="I363" i="1"/>
  <c r="G363" i="1"/>
  <c r="H363" i="1" s="1"/>
  <c r="I362" i="1"/>
  <c r="G362" i="1"/>
  <c r="H362" i="1" s="1"/>
  <c r="I361" i="1"/>
  <c r="G361" i="1"/>
  <c r="H361" i="1" s="1"/>
  <c r="I360" i="1"/>
  <c r="G360" i="1"/>
  <c r="H360" i="1" s="1"/>
  <c r="I359" i="1"/>
  <c r="G359" i="1"/>
  <c r="H359" i="1" s="1"/>
  <c r="I358" i="1"/>
  <c r="G358" i="1"/>
  <c r="H358" i="1" s="1"/>
  <c r="I357" i="1"/>
  <c r="G357" i="1"/>
  <c r="H357" i="1" s="1"/>
  <c r="I356" i="1"/>
  <c r="G356" i="1"/>
  <c r="H356" i="1" s="1"/>
  <c r="I355" i="1"/>
  <c r="G355" i="1"/>
  <c r="H355" i="1" s="1"/>
  <c r="I354" i="1"/>
  <c r="G354" i="1"/>
  <c r="H354" i="1" s="1"/>
  <c r="I353" i="1"/>
  <c r="G353" i="1"/>
  <c r="H353" i="1" s="1"/>
  <c r="I352" i="1"/>
  <c r="G352" i="1"/>
  <c r="H352" i="1" s="1"/>
  <c r="I351" i="1"/>
  <c r="G351" i="1"/>
  <c r="H351" i="1" s="1"/>
  <c r="I350" i="1"/>
  <c r="G350" i="1"/>
  <c r="H350" i="1" s="1"/>
  <c r="I349" i="1"/>
  <c r="G349" i="1"/>
  <c r="H349" i="1" s="1"/>
  <c r="I348" i="1"/>
  <c r="G348" i="1"/>
  <c r="H348" i="1" s="1"/>
  <c r="I347" i="1"/>
  <c r="G347" i="1"/>
  <c r="H347" i="1" s="1"/>
  <c r="I346" i="1"/>
  <c r="G346" i="1"/>
  <c r="H346" i="1" s="1"/>
  <c r="I345" i="1"/>
  <c r="G345" i="1"/>
  <c r="H345" i="1" s="1"/>
  <c r="I344" i="1"/>
  <c r="G344" i="1"/>
  <c r="H344" i="1" s="1"/>
  <c r="I343" i="1"/>
  <c r="G343" i="1"/>
  <c r="H343" i="1" s="1"/>
  <c r="I342" i="1"/>
  <c r="G342" i="1"/>
  <c r="H342" i="1" s="1"/>
  <c r="I341" i="1"/>
  <c r="G341" i="1"/>
  <c r="H341" i="1" s="1"/>
  <c r="I340" i="1"/>
  <c r="G340" i="1"/>
  <c r="H340" i="1" s="1"/>
  <c r="I339" i="1"/>
  <c r="G339" i="1"/>
  <c r="H339" i="1" s="1"/>
  <c r="I338" i="1"/>
  <c r="G338" i="1"/>
  <c r="H338" i="1" s="1"/>
  <c r="I337" i="1"/>
  <c r="G337" i="1"/>
  <c r="H337" i="1" s="1"/>
  <c r="I336" i="1"/>
  <c r="G336" i="1"/>
  <c r="H336" i="1" s="1"/>
  <c r="I335" i="1"/>
  <c r="G335" i="1"/>
  <c r="H335" i="1" s="1"/>
  <c r="I334" i="1"/>
  <c r="G334" i="1"/>
  <c r="H334" i="1" s="1"/>
  <c r="I333" i="1"/>
  <c r="G333" i="1"/>
  <c r="H333" i="1" s="1"/>
  <c r="I332" i="1"/>
  <c r="G332" i="1"/>
  <c r="H332" i="1" s="1"/>
  <c r="I331" i="1"/>
  <c r="G331" i="1"/>
  <c r="H331" i="1" s="1"/>
  <c r="I330" i="1"/>
  <c r="G330" i="1"/>
  <c r="H330" i="1" s="1"/>
  <c r="I329" i="1"/>
  <c r="G329" i="1"/>
  <c r="H329" i="1" s="1"/>
  <c r="I328" i="1"/>
  <c r="G328" i="1"/>
  <c r="H328" i="1" s="1"/>
  <c r="I327" i="1"/>
  <c r="G327" i="1"/>
  <c r="H327" i="1" s="1"/>
  <c r="I326" i="1"/>
  <c r="G326" i="1"/>
  <c r="H326" i="1" s="1"/>
  <c r="I325" i="1"/>
  <c r="G325" i="1"/>
  <c r="H325" i="1" s="1"/>
  <c r="I324" i="1"/>
  <c r="G324" i="1"/>
  <c r="H324" i="1" s="1"/>
  <c r="I323" i="1"/>
  <c r="G323" i="1"/>
  <c r="H323" i="1" s="1"/>
  <c r="I322" i="1"/>
  <c r="G322" i="1"/>
  <c r="H322" i="1" s="1"/>
  <c r="I321" i="1"/>
  <c r="G321" i="1"/>
  <c r="H321" i="1" s="1"/>
  <c r="I320" i="1"/>
  <c r="G320" i="1"/>
  <c r="H320" i="1" s="1"/>
  <c r="I319" i="1"/>
  <c r="G319" i="1"/>
  <c r="H319" i="1" s="1"/>
  <c r="I318" i="1"/>
  <c r="G318" i="1"/>
  <c r="H318" i="1" s="1"/>
  <c r="I317" i="1"/>
  <c r="G317" i="1"/>
  <c r="H317" i="1" s="1"/>
  <c r="I316" i="1"/>
  <c r="G316" i="1"/>
  <c r="H316" i="1" s="1"/>
  <c r="I315" i="1"/>
  <c r="G315" i="1"/>
  <c r="H315" i="1" s="1"/>
  <c r="I314" i="1"/>
  <c r="G314" i="1"/>
  <c r="H314" i="1" s="1"/>
  <c r="I313" i="1"/>
  <c r="G313" i="1"/>
  <c r="H313" i="1" s="1"/>
  <c r="I312" i="1"/>
  <c r="G312" i="1"/>
  <c r="H312" i="1" s="1"/>
  <c r="I311" i="1"/>
  <c r="G311" i="1"/>
  <c r="H311" i="1" s="1"/>
  <c r="I310" i="1"/>
  <c r="G310" i="1"/>
  <c r="H310" i="1" s="1"/>
  <c r="I309" i="1"/>
  <c r="G309" i="1"/>
  <c r="H309" i="1" s="1"/>
  <c r="I308" i="1"/>
  <c r="G308" i="1"/>
  <c r="H308" i="1" s="1"/>
  <c r="I307" i="1"/>
  <c r="G307" i="1"/>
  <c r="H307" i="1" s="1"/>
  <c r="I306" i="1"/>
  <c r="G306" i="1"/>
  <c r="H306" i="1" s="1"/>
  <c r="I305" i="1"/>
  <c r="G305" i="1"/>
  <c r="H305" i="1" s="1"/>
  <c r="I304" i="1"/>
  <c r="G304" i="1"/>
  <c r="H304" i="1" s="1"/>
  <c r="I303" i="1"/>
  <c r="G303" i="1"/>
  <c r="H303" i="1" s="1"/>
  <c r="I302" i="1"/>
  <c r="G302" i="1"/>
  <c r="H302" i="1" s="1"/>
  <c r="I301" i="1"/>
  <c r="G301" i="1"/>
  <c r="H301" i="1" s="1"/>
  <c r="I300" i="1"/>
  <c r="G300" i="1"/>
  <c r="H300" i="1" s="1"/>
  <c r="I299" i="1"/>
  <c r="G299" i="1"/>
  <c r="H299" i="1" s="1"/>
  <c r="I298" i="1"/>
  <c r="G298" i="1"/>
  <c r="H298" i="1" s="1"/>
  <c r="I297" i="1"/>
  <c r="G297" i="1"/>
  <c r="H297" i="1" s="1"/>
  <c r="I296" i="1"/>
  <c r="G296" i="1"/>
  <c r="H296" i="1" s="1"/>
  <c r="I295" i="1"/>
  <c r="G295" i="1"/>
  <c r="H295" i="1" s="1"/>
  <c r="I294" i="1"/>
  <c r="G294" i="1"/>
  <c r="H294" i="1" s="1"/>
  <c r="I293" i="1"/>
  <c r="G293" i="1"/>
  <c r="H293" i="1" s="1"/>
  <c r="I292" i="1"/>
  <c r="G292" i="1"/>
  <c r="H292" i="1" s="1"/>
  <c r="I291" i="1"/>
  <c r="G291" i="1"/>
  <c r="H291" i="1" s="1"/>
  <c r="I290" i="1"/>
  <c r="G290" i="1"/>
  <c r="H290" i="1" s="1"/>
  <c r="I289" i="1"/>
  <c r="G289" i="1"/>
  <c r="H289" i="1" s="1"/>
  <c r="I288" i="1"/>
  <c r="G288" i="1"/>
  <c r="H288" i="1" s="1"/>
  <c r="I287" i="1"/>
  <c r="G287" i="1"/>
  <c r="H287" i="1" s="1"/>
  <c r="I286" i="1"/>
  <c r="G286" i="1"/>
  <c r="H286" i="1" s="1"/>
  <c r="I285" i="1"/>
  <c r="G285" i="1"/>
  <c r="H285" i="1" s="1"/>
  <c r="I284" i="1"/>
  <c r="G284" i="1"/>
  <c r="H284" i="1" s="1"/>
  <c r="I283" i="1"/>
  <c r="G283" i="1"/>
  <c r="H283" i="1" s="1"/>
  <c r="I282" i="1"/>
  <c r="G282" i="1"/>
  <c r="H282" i="1" s="1"/>
  <c r="I281" i="1"/>
  <c r="G281" i="1"/>
  <c r="H281" i="1" s="1"/>
  <c r="I280" i="1"/>
  <c r="G280" i="1"/>
  <c r="H280" i="1" s="1"/>
  <c r="I279" i="1"/>
  <c r="G279" i="1"/>
  <c r="H279" i="1" s="1"/>
  <c r="I278" i="1"/>
  <c r="G278" i="1"/>
  <c r="H278" i="1" s="1"/>
  <c r="I277" i="1"/>
  <c r="G277" i="1"/>
  <c r="H277" i="1" s="1"/>
  <c r="I276" i="1"/>
  <c r="G276" i="1"/>
  <c r="H276" i="1" s="1"/>
  <c r="I275" i="1"/>
  <c r="G275" i="1"/>
  <c r="H275" i="1" s="1"/>
  <c r="I274" i="1"/>
  <c r="G274" i="1"/>
  <c r="H274" i="1" s="1"/>
  <c r="I273" i="1"/>
  <c r="G273" i="1"/>
  <c r="H273" i="1" s="1"/>
  <c r="I272" i="1"/>
  <c r="G272" i="1"/>
  <c r="H272" i="1" s="1"/>
  <c r="I271" i="1"/>
  <c r="G271" i="1"/>
  <c r="H271" i="1" s="1"/>
  <c r="I270" i="1"/>
  <c r="G270" i="1"/>
  <c r="H270" i="1" s="1"/>
  <c r="I269" i="1"/>
  <c r="G269" i="1"/>
  <c r="H269" i="1" s="1"/>
  <c r="I268" i="1"/>
  <c r="G268" i="1"/>
  <c r="H268" i="1" s="1"/>
  <c r="I267" i="1"/>
  <c r="G267" i="1"/>
  <c r="H267" i="1" s="1"/>
  <c r="I266" i="1"/>
  <c r="G266" i="1"/>
  <c r="H266" i="1" s="1"/>
  <c r="I265" i="1"/>
  <c r="G265" i="1"/>
  <c r="H265" i="1" s="1"/>
  <c r="I264" i="1"/>
  <c r="G264" i="1"/>
  <c r="H264" i="1" s="1"/>
  <c r="I263" i="1"/>
  <c r="G263" i="1"/>
  <c r="H263" i="1" s="1"/>
  <c r="I262" i="1"/>
  <c r="G262" i="1"/>
  <c r="H262" i="1" s="1"/>
  <c r="I261" i="1"/>
  <c r="G261" i="1"/>
  <c r="H261" i="1" s="1"/>
  <c r="I260" i="1"/>
  <c r="G260" i="1"/>
  <c r="H260" i="1" s="1"/>
  <c r="I259" i="1"/>
  <c r="G259" i="1"/>
  <c r="H259" i="1" s="1"/>
  <c r="I258" i="1"/>
  <c r="G258" i="1"/>
  <c r="H258" i="1" s="1"/>
  <c r="I257" i="1"/>
  <c r="G257" i="1"/>
  <c r="H257" i="1" s="1"/>
  <c r="I256" i="1"/>
  <c r="G256" i="1"/>
  <c r="H256" i="1" s="1"/>
  <c r="I255" i="1"/>
  <c r="G255" i="1"/>
  <c r="H255" i="1" s="1"/>
  <c r="I254" i="1"/>
  <c r="G254" i="1"/>
  <c r="H254" i="1" s="1"/>
  <c r="I253" i="1"/>
  <c r="G253" i="1"/>
  <c r="H253" i="1" s="1"/>
  <c r="I252" i="1"/>
  <c r="G252" i="1"/>
  <c r="H252" i="1" s="1"/>
  <c r="I251" i="1"/>
  <c r="G251" i="1"/>
  <c r="H251" i="1" s="1"/>
  <c r="I250" i="1"/>
  <c r="G250" i="1"/>
  <c r="H250" i="1" s="1"/>
  <c r="I249" i="1"/>
  <c r="G249" i="1"/>
  <c r="H249" i="1" s="1"/>
  <c r="I248" i="1"/>
  <c r="G248" i="1"/>
  <c r="H248" i="1" s="1"/>
  <c r="I247" i="1"/>
  <c r="G247" i="1"/>
  <c r="H247" i="1" s="1"/>
  <c r="I246" i="1"/>
  <c r="G246" i="1"/>
  <c r="H246" i="1" s="1"/>
  <c r="I245" i="1"/>
  <c r="G245" i="1"/>
  <c r="H245" i="1" s="1"/>
  <c r="I244" i="1"/>
  <c r="G244" i="1"/>
  <c r="H244" i="1" s="1"/>
  <c r="I243" i="1"/>
  <c r="G243" i="1"/>
  <c r="H243" i="1" s="1"/>
  <c r="I242" i="1"/>
  <c r="G242" i="1"/>
  <c r="H242" i="1" s="1"/>
  <c r="I241" i="1"/>
  <c r="G241" i="1"/>
  <c r="H241" i="1" s="1"/>
  <c r="I240" i="1"/>
  <c r="G240" i="1"/>
  <c r="H240" i="1" s="1"/>
  <c r="I239" i="1"/>
  <c r="G239" i="1"/>
  <c r="H239" i="1" s="1"/>
  <c r="I238" i="1"/>
  <c r="G238" i="1"/>
  <c r="H238" i="1" s="1"/>
  <c r="I237" i="1"/>
  <c r="G237" i="1"/>
  <c r="H237" i="1" s="1"/>
  <c r="I236" i="1"/>
  <c r="G236" i="1"/>
  <c r="H236" i="1" s="1"/>
  <c r="I235" i="1"/>
  <c r="G235" i="1"/>
  <c r="H235" i="1" s="1"/>
  <c r="I234" i="1"/>
  <c r="G234" i="1"/>
  <c r="H234" i="1" s="1"/>
  <c r="I233" i="1"/>
  <c r="G233" i="1"/>
  <c r="H233" i="1" s="1"/>
  <c r="I232" i="1"/>
  <c r="G232" i="1"/>
  <c r="H232" i="1" s="1"/>
  <c r="I231" i="1"/>
  <c r="G231" i="1"/>
  <c r="H231" i="1" s="1"/>
  <c r="I230" i="1"/>
  <c r="G230" i="1"/>
  <c r="H230" i="1" s="1"/>
  <c r="I229" i="1"/>
  <c r="G229" i="1"/>
  <c r="H229" i="1" s="1"/>
  <c r="I228" i="1"/>
  <c r="G228" i="1"/>
  <c r="H228" i="1" s="1"/>
  <c r="I227" i="1"/>
  <c r="G227" i="1"/>
  <c r="H227" i="1" s="1"/>
  <c r="I226" i="1"/>
  <c r="G226" i="1"/>
  <c r="H226" i="1" s="1"/>
  <c r="I225" i="1"/>
  <c r="G225" i="1"/>
  <c r="H225" i="1" s="1"/>
  <c r="I224" i="1"/>
  <c r="G224" i="1"/>
  <c r="H224" i="1" s="1"/>
  <c r="I223" i="1"/>
  <c r="G223" i="1"/>
  <c r="H223" i="1" s="1"/>
  <c r="I222" i="1"/>
  <c r="G222" i="1"/>
  <c r="H222" i="1" s="1"/>
  <c r="I221" i="1"/>
  <c r="G221" i="1"/>
  <c r="H221" i="1" s="1"/>
  <c r="I220" i="1"/>
  <c r="G220" i="1"/>
  <c r="H220" i="1" s="1"/>
  <c r="I219" i="1"/>
  <c r="G219" i="1"/>
  <c r="H219" i="1" s="1"/>
  <c r="I218" i="1"/>
  <c r="G218" i="1"/>
  <c r="H218" i="1" s="1"/>
  <c r="I217" i="1"/>
  <c r="G217" i="1"/>
  <c r="H217" i="1" s="1"/>
  <c r="I216" i="1"/>
  <c r="G216" i="1"/>
  <c r="H216" i="1" s="1"/>
  <c r="I215" i="1"/>
  <c r="G215" i="1"/>
  <c r="H215" i="1" s="1"/>
  <c r="I214" i="1"/>
  <c r="G214" i="1"/>
  <c r="H214" i="1" s="1"/>
  <c r="I213" i="1"/>
  <c r="G213" i="1"/>
  <c r="H213" i="1" s="1"/>
  <c r="I212" i="1"/>
  <c r="G212" i="1"/>
  <c r="H212" i="1" s="1"/>
  <c r="I211" i="1"/>
  <c r="G211" i="1"/>
  <c r="H211" i="1" s="1"/>
  <c r="I210" i="1"/>
  <c r="G210" i="1"/>
  <c r="H210" i="1" s="1"/>
  <c r="I209" i="1"/>
  <c r="G209" i="1"/>
  <c r="H209" i="1" s="1"/>
  <c r="I208" i="1"/>
  <c r="G208" i="1"/>
  <c r="H208" i="1" s="1"/>
  <c r="I207" i="1"/>
  <c r="G207" i="1"/>
  <c r="H207" i="1" s="1"/>
  <c r="I206" i="1"/>
  <c r="G206" i="1"/>
  <c r="H206" i="1" s="1"/>
  <c r="I205" i="1"/>
  <c r="G205" i="1"/>
  <c r="H205" i="1" s="1"/>
  <c r="I204" i="1"/>
  <c r="G204" i="1"/>
  <c r="H204" i="1" s="1"/>
  <c r="I203" i="1"/>
  <c r="G203" i="1"/>
  <c r="H203" i="1" s="1"/>
  <c r="I202" i="1"/>
  <c r="G202" i="1"/>
  <c r="H202" i="1" s="1"/>
  <c r="I201" i="1"/>
  <c r="G201" i="1"/>
  <c r="H201" i="1" s="1"/>
  <c r="I200" i="1"/>
  <c r="G200" i="1"/>
  <c r="H200" i="1" s="1"/>
  <c r="I199" i="1"/>
  <c r="G199" i="1"/>
  <c r="H199" i="1" s="1"/>
  <c r="I198" i="1"/>
  <c r="G198" i="1"/>
  <c r="H198" i="1" s="1"/>
  <c r="I197" i="1"/>
  <c r="G197" i="1"/>
  <c r="H197" i="1" s="1"/>
  <c r="I196" i="1"/>
  <c r="G196" i="1"/>
  <c r="H196" i="1" s="1"/>
  <c r="I195" i="1"/>
  <c r="G195" i="1"/>
  <c r="H195" i="1" s="1"/>
  <c r="I194" i="1"/>
  <c r="G194" i="1"/>
  <c r="H194" i="1" s="1"/>
  <c r="I193" i="1"/>
  <c r="G193" i="1"/>
  <c r="H193" i="1" s="1"/>
  <c r="I192" i="1"/>
  <c r="G192" i="1"/>
  <c r="H192" i="1" s="1"/>
  <c r="I191" i="1"/>
  <c r="G191" i="1"/>
  <c r="H191" i="1" s="1"/>
  <c r="I190" i="1"/>
  <c r="G190" i="1"/>
  <c r="H190" i="1" s="1"/>
  <c r="I189" i="1"/>
  <c r="G189" i="1"/>
  <c r="H189" i="1" s="1"/>
  <c r="I188" i="1"/>
  <c r="G188" i="1"/>
  <c r="H188" i="1" s="1"/>
  <c r="I187" i="1"/>
  <c r="G187" i="1"/>
  <c r="H187" i="1" s="1"/>
  <c r="I186" i="1"/>
  <c r="G186" i="1"/>
  <c r="H186" i="1" s="1"/>
  <c r="I185" i="1"/>
  <c r="G185" i="1"/>
  <c r="H185" i="1" s="1"/>
  <c r="I184" i="1"/>
  <c r="G184" i="1"/>
  <c r="H184" i="1" s="1"/>
  <c r="I183" i="1"/>
  <c r="G183" i="1"/>
  <c r="H183" i="1" s="1"/>
  <c r="I182" i="1"/>
  <c r="G182" i="1"/>
  <c r="H182" i="1" s="1"/>
  <c r="I181" i="1"/>
  <c r="G181" i="1"/>
  <c r="H181" i="1" s="1"/>
  <c r="I180" i="1"/>
  <c r="G180" i="1"/>
  <c r="H180" i="1" s="1"/>
  <c r="I179" i="1"/>
  <c r="G179" i="1"/>
  <c r="H179" i="1" s="1"/>
  <c r="I178" i="1"/>
  <c r="G178" i="1"/>
  <c r="H178" i="1" s="1"/>
  <c r="I177" i="1"/>
  <c r="G177" i="1"/>
  <c r="H177" i="1" s="1"/>
  <c r="I176" i="1"/>
  <c r="G176" i="1"/>
  <c r="H176" i="1" s="1"/>
  <c r="I175" i="1"/>
  <c r="G175" i="1"/>
  <c r="H175" i="1" s="1"/>
  <c r="I174" i="1"/>
  <c r="G174" i="1"/>
  <c r="H174" i="1" s="1"/>
  <c r="I173" i="1"/>
  <c r="G173" i="1"/>
  <c r="H173" i="1" s="1"/>
  <c r="I172" i="1"/>
  <c r="G172" i="1"/>
  <c r="H172" i="1" s="1"/>
  <c r="I171" i="1"/>
  <c r="G171" i="1"/>
  <c r="H171" i="1" s="1"/>
  <c r="I170" i="1"/>
  <c r="G170" i="1"/>
  <c r="H170" i="1" s="1"/>
  <c r="I169" i="1"/>
  <c r="G169" i="1"/>
  <c r="H169" i="1" s="1"/>
  <c r="I168" i="1"/>
  <c r="G168" i="1"/>
  <c r="H168" i="1" s="1"/>
  <c r="I167" i="1"/>
  <c r="G167" i="1"/>
  <c r="H167" i="1" s="1"/>
  <c r="I166" i="1"/>
  <c r="G166" i="1"/>
  <c r="H166" i="1" s="1"/>
  <c r="I165" i="1"/>
  <c r="G165" i="1"/>
  <c r="H165" i="1" s="1"/>
  <c r="I164" i="1"/>
  <c r="G164" i="1"/>
  <c r="H164" i="1" s="1"/>
  <c r="I163" i="1"/>
  <c r="G163" i="1"/>
  <c r="H163" i="1" s="1"/>
  <c r="I162" i="1"/>
  <c r="G162" i="1"/>
  <c r="H162" i="1" s="1"/>
  <c r="I161" i="1"/>
  <c r="G161" i="1"/>
  <c r="H161" i="1" s="1"/>
  <c r="I160" i="1"/>
  <c r="G160" i="1"/>
  <c r="H160" i="1" s="1"/>
  <c r="I159" i="1"/>
  <c r="G159" i="1"/>
  <c r="H159" i="1" s="1"/>
  <c r="I158" i="1"/>
  <c r="G158" i="1"/>
  <c r="H158" i="1" s="1"/>
  <c r="I157" i="1"/>
  <c r="G157" i="1"/>
  <c r="H157" i="1" s="1"/>
  <c r="I156" i="1"/>
  <c r="G156" i="1"/>
  <c r="H156" i="1" s="1"/>
  <c r="I155" i="1"/>
  <c r="G155" i="1"/>
  <c r="H155" i="1" s="1"/>
  <c r="I154" i="1"/>
  <c r="G154" i="1"/>
  <c r="H154" i="1" s="1"/>
  <c r="I153" i="1"/>
  <c r="G153" i="1"/>
  <c r="H153" i="1" s="1"/>
  <c r="I152" i="1"/>
  <c r="G152" i="1"/>
  <c r="H152" i="1" s="1"/>
  <c r="I151" i="1"/>
  <c r="G151" i="1"/>
  <c r="H151" i="1" s="1"/>
  <c r="I150" i="1"/>
  <c r="G150" i="1"/>
  <c r="H150" i="1" s="1"/>
  <c r="I149" i="1"/>
  <c r="G149" i="1"/>
  <c r="H149" i="1" s="1"/>
  <c r="I148" i="1"/>
  <c r="G148" i="1"/>
  <c r="H148" i="1" s="1"/>
  <c r="I147" i="1"/>
  <c r="G147" i="1"/>
  <c r="H147" i="1" s="1"/>
  <c r="I146" i="1"/>
  <c r="G146" i="1"/>
  <c r="H146" i="1" s="1"/>
  <c r="I145" i="1"/>
  <c r="G145" i="1"/>
  <c r="H145" i="1" s="1"/>
  <c r="I144" i="1"/>
  <c r="G144" i="1"/>
  <c r="H144" i="1" s="1"/>
  <c r="I143" i="1"/>
  <c r="G143" i="1"/>
  <c r="H143" i="1" s="1"/>
  <c r="I142" i="1"/>
  <c r="G142" i="1"/>
  <c r="H142" i="1" s="1"/>
  <c r="I141" i="1"/>
  <c r="G141" i="1"/>
  <c r="H141" i="1" s="1"/>
  <c r="I140" i="1"/>
  <c r="G140" i="1"/>
  <c r="H140" i="1" s="1"/>
  <c r="I139" i="1"/>
  <c r="G139" i="1"/>
  <c r="H139" i="1" s="1"/>
  <c r="I138" i="1"/>
  <c r="G138" i="1"/>
  <c r="H138" i="1" s="1"/>
  <c r="I137" i="1"/>
  <c r="G137" i="1"/>
  <c r="H137" i="1" s="1"/>
  <c r="I136" i="1"/>
  <c r="G136" i="1"/>
  <c r="H136" i="1" s="1"/>
  <c r="I135" i="1"/>
  <c r="G135" i="1"/>
  <c r="H135" i="1" s="1"/>
  <c r="I134" i="1"/>
  <c r="G134" i="1"/>
  <c r="H134" i="1" s="1"/>
  <c r="I133" i="1"/>
  <c r="G133" i="1"/>
  <c r="H133" i="1" s="1"/>
  <c r="I132" i="1"/>
  <c r="G132" i="1"/>
  <c r="H132" i="1" s="1"/>
  <c r="I131" i="1"/>
  <c r="G131" i="1"/>
  <c r="H131" i="1" s="1"/>
  <c r="I130" i="1"/>
  <c r="G130" i="1"/>
  <c r="H130" i="1" s="1"/>
  <c r="I129" i="1"/>
  <c r="G129" i="1"/>
  <c r="H129" i="1" s="1"/>
  <c r="I128" i="1"/>
  <c r="G128" i="1"/>
  <c r="H128" i="1" s="1"/>
  <c r="I127" i="1"/>
  <c r="G127" i="1"/>
  <c r="H127" i="1" s="1"/>
  <c r="I126" i="1"/>
  <c r="G126" i="1"/>
  <c r="H126" i="1" s="1"/>
  <c r="I125" i="1"/>
  <c r="G125" i="1"/>
  <c r="H125" i="1" s="1"/>
  <c r="I124" i="1"/>
  <c r="G124" i="1"/>
  <c r="H124" i="1" s="1"/>
  <c r="I123" i="1"/>
  <c r="G123" i="1"/>
  <c r="H123" i="1" s="1"/>
  <c r="I122" i="1"/>
  <c r="G122" i="1"/>
  <c r="H122" i="1" s="1"/>
  <c r="I121" i="1"/>
  <c r="G121" i="1"/>
  <c r="H121" i="1" s="1"/>
  <c r="I120" i="1"/>
  <c r="G120" i="1"/>
  <c r="H120" i="1" s="1"/>
  <c r="I119" i="1"/>
  <c r="G119" i="1"/>
  <c r="H119" i="1" s="1"/>
  <c r="I118" i="1"/>
  <c r="G118" i="1"/>
  <c r="H118" i="1" s="1"/>
  <c r="I117" i="1"/>
  <c r="G117" i="1"/>
  <c r="H117" i="1" s="1"/>
  <c r="I116" i="1"/>
  <c r="G116" i="1"/>
  <c r="H116" i="1" s="1"/>
  <c r="I115" i="1"/>
  <c r="G115" i="1"/>
  <c r="H115" i="1" s="1"/>
  <c r="I114" i="1"/>
  <c r="G114" i="1"/>
  <c r="H114" i="1" s="1"/>
  <c r="I113" i="1"/>
  <c r="G113" i="1"/>
  <c r="H113" i="1" s="1"/>
  <c r="I112" i="1"/>
  <c r="G112" i="1"/>
  <c r="H112" i="1" s="1"/>
  <c r="I111" i="1"/>
  <c r="G111" i="1"/>
  <c r="H111" i="1" s="1"/>
  <c r="I110" i="1"/>
  <c r="G110" i="1"/>
  <c r="H110" i="1" s="1"/>
  <c r="I109" i="1"/>
  <c r="G109" i="1"/>
  <c r="H109" i="1" s="1"/>
  <c r="I108" i="1"/>
  <c r="G108" i="1"/>
  <c r="H108" i="1" s="1"/>
  <c r="I107" i="1"/>
  <c r="G107" i="1"/>
  <c r="H107" i="1" s="1"/>
  <c r="I106" i="1"/>
  <c r="G106" i="1"/>
  <c r="H106" i="1" s="1"/>
  <c r="I105" i="1"/>
  <c r="G105" i="1"/>
  <c r="H105" i="1" s="1"/>
  <c r="I104" i="1"/>
  <c r="G104" i="1"/>
  <c r="H104" i="1" s="1"/>
  <c r="I103" i="1"/>
  <c r="G103" i="1"/>
  <c r="H103" i="1" s="1"/>
  <c r="I102" i="1"/>
  <c r="G102" i="1"/>
  <c r="H102" i="1" s="1"/>
  <c r="I101" i="1"/>
  <c r="G101" i="1"/>
  <c r="H101" i="1" s="1"/>
  <c r="I100" i="1"/>
  <c r="G100" i="1"/>
  <c r="H100" i="1" s="1"/>
  <c r="I99" i="1"/>
  <c r="G99" i="1"/>
  <c r="H99" i="1" s="1"/>
  <c r="I98" i="1"/>
  <c r="G98" i="1"/>
  <c r="H98" i="1" s="1"/>
  <c r="I97" i="1"/>
  <c r="G97" i="1"/>
  <c r="H97" i="1" s="1"/>
  <c r="I96" i="1"/>
  <c r="G96" i="1"/>
  <c r="H96" i="1" s="1"/>
  <c r="I95" i="1"/>
  <c r="G95" i="1"/>
  <c r="H95" i="1" s="1"/>
  <c r="I94" i="1"/>
  <c r="G94" i="1"/>
  <c r="H94" i="1" s="1"/>
  <c r="I93" i="1"/>
  <c r="G93" i="1"/>
  <c r="H93" i="1" s="1"/>
  <c r="I92" i="1"/>
  <c r="G92" i="1"/>
  <c r="H92" i="1" s="1"/>
  <c r="I91" i="1"/>
  <c r="G91" i="1"/>
  <c r="H91" i="1" s="1"/>
  <c r="I90" i="1"/>
  <c r="G90" i="1"/>
  <c r="H90" i="1" s="1"/>
  <c r="I89" i="1"/>
  <c r="G89" i="1"/>
  <c r="H89" i="1" s="1"/>
  <c r="I88" i="1"/>
  <c r="G88" i="1"/>
  <c r="H88" i="1" s="1"/>
  <c r="I87" i="1"/>
  <c r="G87" i="1"/>
  <c r="H87" i="1" s="1"/>
  <c r="I86" i="1"/>
  <c r="G86" i="1"/>
  <c r="H86" i="1" s="1"/>
  <c r="I85" i="1"/>
  <c r="G85" i="1"/>
  <c r="H85" i="1" s="1"/>
  <c r="I84" i="1"/>
  <c r="G84" i="1"/>
  <c r="H84" i="1" s="1"/>
  <c r="I83" i="1"/>
  <c r="G83" i="1"/>
  <c r="H83" i="1" s="1"/>
  <c r="I82" i="1"/>
  <c r="G82" i="1"/>
  <c r="H82" i="1" s="1"/>
  <c r="I81" i="1"/>
  <c r="G81" i="1"/>
  <c r="H81" i="1" s="1"/>
  <c r="I80" i="1"/>
  <c r="G80" i="1"/>
  <c r="H80" i="1" s="1"/>
  <c r="I79" i="1"/>
  <c r="G79" i="1"/>
  <c r="H79" i="1" s="1"/>
  <c r="I78" i="1"/>
  <c r="G78" i="1"/>
  <c r="H78" i="1" s="1"/>
  <c r="I77" i="1"/>
  <c r="G77" i="1"/>
  <c r="H77" i="1" s="1"/>
  <c r="I76" i="1"/>
  <c r="G76" i="1"/>
  <c r="H76" i="1" s="1"/>
  <c r="I75" i="1"/>
  <c r="G75" i="1"/>
  <c r="H75" i="1" s="1"/>
  <c r="I74" i="1"/>
  <c r="G74" i="1"/>
  <c r="H74" i="1" s="1"/>
  <c r="I73" i="1"/>
  <c r="G73" i="1"/>
  <c r="H73" i="1" s="1"/>
  <c r="I72" i="1"/>
  <c r="G72" i="1"/>
  <c r="H72" i="1" s="1"/>
  <c r="I71" i="1"/>
  <c r="G71" i="1"/>
  <c r="H71" i="1" s="1"/>
  <c r="I70" i="1"/>
  <c r="G70" i="1"/>
  <c r="H70" i="1" s="1"/>
  <c r="I69" i="1"/>
  <c r="G69" i="1"/>
  <c r="H69" i="1" s="1"/>
  <c r="I58" i="1"/>
  <c r="G58" i="1"/>
  <c r="H58" i="1" s="1"/>
  <c r="I57" i="1"/>
  <c r="G57" i="1"/>
  <c r="H57" i="1" s="1"/>
  <c r="I56" i="1"/>
  <c r="G56" i="1"/>
  <c r="H56" i="1" s="1"/>
  <c r="I55" i="1"/>
  <c r="G55" i="1"/>
  <c r="H55" i="1" s="1"/>
  <c r="I54" i="1"/>
  <c r="G54" i="1"/>
  <c r="H54" i="1" s="1"/>
  <c r="I53" i="1"/>
  <c r="G53" i="1"/>
  <c r="H53" i="1" s="1"/>
  <c r="I52" i="1"/>
  <c r="G52" i="1"/>
  <c r="H52" i="1" s="1"/>
  <c r="I51" i="1"/>
  <c r="G51" i="1"/>
  <c r="H51" i="1" s="1"/>
  <c r="I50" i="1"/>
  <c r="G50" i="1"/>
  <c r="H50" i="1" s="1"/>
  <c r="I49" i="1"/>
  <c r="G49" i="1"/>
  <c r="H49" i="1" s="1"/>
  <c r="I48" i="1"/>
  <c r="G48" i="1"/>
  <c r="H48" i="1" s="1"/>
  <c r="I47" i="1"/>
  <c r="G47" i="1"/>
  <c r="H47" i="1" s="1"/>
  <c r="I46" i="1"/>
  <c r="G46" i="1"/>
  <c r="H46" i="1" s="1"/>
  <c r="I45" i="1"/>
  <c r="G45" i="1"/>
  <c r="H45" i="1" s="1"/>
  <c r="I44" i="1"/>
  <c r="G44" i="1"/>
  <c r="H44" i="1" s="1"/>
  <c r="I43" i="1"/>
  <c r="G43" i="1"/>
  <c r="H43" i="1" s="1"/>
  <c r="I42" i="1"/>
  <c r="G42" i="1"/>
  <c r="H42" i="1" s="1"/>
  <c r="I41" i="1"/>
  <c r="G41" i="1"/>
  <c r="H41" i="1" s="1"/>
  <c r="I40" i="1"/>
  <c r="G40" i="1"/>
  <c r="H40" i="1" s="1"/>
  <c r="I39" i="1"/>
  <c r="G39" i="1"/>
  <c r="H39" i="1" s="1"/>
  <c r="I38" i="1"/>
  <c r="G38" i="1"/>
  <c r="H38" i="1" s="1"/>
  <c r="I37" i="1"/>
  <c r="G37" i="1"/>
  <c r="H37" i="1" s="1"/>
  <c r="I36" i="1"/>
  <c r="G36" i="1"/>
  <c r="H36" i="1" s="1"/>
  <c r="I35" i="1"/>
  <c r="G35" i="1"/>
  <c r="H35" i="1" s="1"/>
  <c r="I34" i="1"/>
  <c r="G34" i="1"/>
  <c r="H34" i="1" s="1"/>
  <c r="I33" i="1"/>
  <c r="G33" i="1"/>
  <c r="H33" i="1" s="1"/>
  <c r="I32" i="1"/>
  <c r="G32" i="1"/>
  <c r="H32" i="1" s="1"/>
  <c r="I31" i="1"/>
  <c r="G31" i="1"/>
  <c r="H31" i="1" s="1"/>
  <c r="I30" i="1"/>
  <c r="G30" i="1"/>
  <c r="H30" i="1" s="1"/>
  <c r="I29" i="1"/>
  <c r="G29" i="1"/>
  <c r="H29" i="1" s="1"/>
  <c r="I28" i="1"/>
  <c r="G28" i="1"/>
  <c r="H28" i="1" s="1"/>
  <c r="I27" i="1"/>
  <c r="G27" i="1"/>
  <c r="H27" i="1" s="1"/>
  <c r="I26" i="1"/>
  <c r="G26" i="1"/>
  <c r="H26" i="1" s="1"/>
  <c r="I25" i="1"/>
  <c r="G25" i="1"/>
  <c r="H25" i="1" s="1"/>
  <c r="I24" i="1"/>
  <c r="G24" i="1"/>
  <c r="H24" i="1" s="1"/>
  <c r="I23" i="1"/>
  <c r="G23" i="1"/>
  <c r="H23" i="1" s="1"/>
  <c r="I22" i="1"/>
  <c r="G22" i="1"/>
  <c r="H22" i="1" s="1"/>
  <c r="I21" i="1"/>
  <c r="G21" i="1"/>
  <c r="H21" i="1" s="1"/>
  <c r="I20" i="1"/>
  <c r="G20" i="1"/>
  <c r="H20" i="1" s="1"/>
  <c r="I19" i="1"/>
  <c r="G19" i="1"/>
  <c r="H19" i="1" s="1"/>
  <c r="I18" i="1"/>
  <c r="G18" i="1"/>
  <c r="H18" i="1" s="1"/>
  <c r="I17" i="1"/>
  <c r="G17" i="1"/>
  <c r="H17" i="1" s="1"/>
  <c r="I16" i="1"/>
  <c r="G16" i="1"/>
  <c r="H16" i="1" s="1"/>
  <c r="I15" i="1"/>
  <c r="G15" i="1"/>
  <c r="H15" i="1" s="1"/>
  <c r="I14" i="1"/>
  <c r="G14" i="1"/>
  <c r="H14" i="1" s="1"/>
  <c r="I13" i="1"/>
  <c r="G13" i="1"/>
  <c r="H13" i="1" s="1"/>
  <c r="I12" i="1"/>
  <c r="G12" i="1"/>
  <c r="H12" i="1" s="1"/>
  <c r="I11" i="1"/>
  <c r="G11" i="1"/>
  <c r="H11" i="1" s="1"/>
  <c r="I10" i="1"/>
  <c r="G10" i="1"/>
  <c r="H10" i="1" s="1"/>
  <c r="I9" i="1"/>
  <c r="G9" i="1"/>
  <c r="H9" i="1" s="1"/>
  <c r="I8" i="1"/>
  <c r="G8" i="1"/>
  <c r="H8" i="1" s="1"/>
  <c r="L207" i="4"/>
  <c r="M207" i="4" s="1"/>
  <c r="L206" i="4"/>
  <c r="M206" i="4" s="1"/>
  <c r="L205" i="4"/>
  <c r="M205" i="4" s="1"/>
  <c r="L204" i="4"/>
  <c r="M204" i="4" s="1"/>
  <c r="L203" i="4"/>
  <c r="M203" i="4" s="1"/>
  <c r="L202" i="4"/>
  <c r="M202" i="4" s="1"/>
  <c r="L201" i="4"/>
  <c r="M201" i="4" s="1"/>
  <c r="L200" i="4"/>
  <c r="M200" i="4" s="1"/>
  <c r="L199" i="4"/>
  <c r="M199" i="4" s="1"/>
  <c r="L198" i="4"/>
  <c r="M198" i="4" s="1"/>
  <c r="L197" i="4"/>
  <c r="M197" i="4" s="1"/>
  <c r="L196" i="4"/>
  <c r="M196" i="4" s="1"/>
  <c r="L195" i="4"/>
  <c r="M195" i="4" s="1"/>
  <c r="L194" i="4"/>
  <c r="M194" i="4" s="1"/>
  <c r="L193" i="4"/>
  <c r="M193" i="4" s="1"/>
  <c r="L208" i="4"/>
  <c r="M208" i="4" s="1"/>
  <c r="L192" i="4"/>
  <c r="M192" i="4" s="1"/>
  <c r="L191" i="4"/>
  <c r="M191" i="4" s="1"/>
  <c r="L190" i="4"/>
  <c r="M190" i="4" s="1"/>
  <c r="L189" i="4"/>
  <c r="M189" i="4" s="1"/>
  <c r="L188" i="4"/>
  <c r="M188" i="4" s="1"/>
  <c r="L187" i="4"/>
  <c r="M187" i="4" s="1"/>
  <c r="L186" i="4"/>
  <c r="M186" i="4" s="1"/>
  <c r="L185" i="4"/>
  <c r="M185" i="4" s="1"/>
  <c r="L69" i="1"/>
  <c r="M69" i="1" s="1"/>
  <c r="L696" i="1"/>
  <c r="M696" i="1" s="1"/>
  <c r="L695" i="1"/>
  <c r="M695" i="1" s="1"/>
  <c r="L694" i="1"/>
  <c r="M694" i="1" s="1"/>
  <c r="L693" i="1"/>
  <c r="M693" i="1" s="1"/>
  <c r="L692" i="1"/>
  <c r="M692" i="1" s="1"/>
  <c r="L691" i="1"/>
  <c r="M691" i="1" s="1"/>
  <c r="L690" i="1"/>
  <c r="M690" i="1" s="1"/>
  <c r="L689" i="1"/>
  <c r="M689" i="1" s="1"/>
  <c r="L697" i="1"/>
  <c r="M697" i="1" s="1"/>
  <c r="J435" i="4" l="1"/>
  <c r="J390" i="4"/>
  <c r="J158" i="4"/>
  <c r="J37" i="4"/>
  <c r="J387" i="4"/>
  <c r="H262" i="4"/>
  <c r="J349" i="4"/>
  <c r="H32" i="4"/>
  <c r="J165" i="4"/>
  <c r="J346" i="4"/>
  <c r="H294" i="4"/>
  <c r="J317" i="4"/>
  <c r="J374" i="4"/>
  <c r="J101" i="4"/>
  <c r="J231" i="4"/>
  <c r="J94" i="4"/>
  <c r="J226" i="4"/>
  <c r="J314" i="4"/>
  <c r="J366" i="4"/>
  <c r="H278" i="4"/>
  <c r="J69" i="4"/>
  <c r="J133" i="4"/>
  <c r="J199" i="4"/>
  <c r="J249" i="4"/>
  <c r="H290" i="4"/>
  <c r="J333" i="4"/>
  <c r="J361" i="4"/>
  <c r="J382" i="4"/>
  <c r="J398" i="4"/>
  <c r="J407" i="4"/>
  <c r="J62" i="4"/>
  <c r="J126" i="4"/>
  <c r="J194" i="4"/>
  <c r="J248" i="4"/>
  <c r="J330" i="4"/>
  <c r="J358" i="4"/>
  <c r="J379" i="4"/>
  <c r="J395" i="4"/>
  <c r="J406" i="4"/>
  <c r="H8" i="4"/>
  <c r="H266" i="4"/>
  <c r="H282" i="4"/>
  <c r="H402" i="4"/>
  <c r="H403" i="4"/>
  <c r="H16" i="4"/>
  <c r="J53" i="4"/>
  <c r="J85" i="4"/>
  <c r="J117" i="4"/>
  <c r="J149" i="4"/>
  <c r="J181" i="4"/>
  <c r="J215" i="4"/>
  <c r="J241" i="4"/>
  <c r="J257" i="4"/>
  <c r="H270" i="4"/>
  <c r="H286" i="4"/>
  <c r="H302" i="4"/>
  <c r="J325" i="4"/>
  <c r="J341" i="4"/>
  <c r="J357" i="4"/>
  <c r="J365" i="4"/>
  <c r="J378" i="4"/>
  <c r="J386" i="4"/>
  <c r="J394" i="4"/>
  <c r="J405" i="4"/>
  <c r="H298" i="4"/>
  <c r="H404" i="4"/>
  <c r="H24" i="4"/>
  <c r="J46" i="4"/>
  <c r="J78" i="4"/>
  <c r="J110" i="4"/>
  <c r="J142" i="4"/>
  <c r="J174" i="4"/>
  <c r="J210" i="4"/>
  <c r="J240" i="4"/>
  <c r="J256" i="4"/>
  <c r="H274" i="4"/>
  <c r="H306" i="4"/>
  <c r="J322" i="4"/>
  <c r="J338" i="4"/>
  <c r="J354" i="4"/>
  <c r="J362" i="4"/>
  <c r="J375" i="4"/>
  <c r="J383" i="4"/>
  <c r="J391" i="4"/>
  <c r="J399" i="4"/>
  <c r="J408" i="4"/>
  <c r="H261" i="4"/>
  <c r="H265" i="4"/>
  <c r="H273" i="4"/>
  <c r="H277" i="4"/>
  <c r="H281" i="4"/>
  <c r="H285" i="4"/>
  <c r="H289" i="4"/>
  <c r="H293" i="4"/>
  <c r="H305" i="4"/>
  <c r="H309" i="4"/>
  <c r="H311" i="4"/>
  <c r="H12" i="4"/>
  <c r="H20" i="4"/>
  <c r="H28" i="4"/>
  <c r="J45" i="4"/>
  <c r="J61" i="4"/>
  <c r="J77" i="4"/>
  <c r="J93" i="4"/>
  <c r="J109" i="4"/>
  <c r="J125" i="4"/>
  <c r="J141" i="4"/>
  <c r="J157" i="4"/>
  <c r="J173" i="4"/>
  <c r="J189" i="4"/>
  <c r="J207" i="4"/>
  <c r="J223" i="4"/>
  <c r="J237" i="4"/>
  <c r="J245" i="4"/>
  <c r="J253" i="4"/>
  <c r="H260" i="4"/>
  <c r="H264" i="4"/>
  <c r="H268" i="4"/>
  <c r="H272" i="4"/>
  <c r="H276" i="4"/>
  <c r="H280" i="4"/>
  <c r="H284" i="4"/>
  <c r="H288" i="4"/>
  <c r="H292" i="4"/>
  <c r="H296" i="4"/>
  <c r="H300" i="4"/>
  <c r="H304" i="4"/>
  <c r="H308" i="4"/>
  <c r="J313" i="4"/>
  <c r="J321" i="4"/>
  <c r="J329" i="4"/>
  <c r="J337" i="4"/>
  <c r="J345" i="4"/>
  <c r="J353" i="4"/>
  <c r="J356" i="4"/>
  <c r="J360" i="4"/>
  <c r="J364" i="4"/>
  <c r="J373" i="4"/>
  <c r="J377" i="4"/>
  <c r="J381" i="4"/>
  <c r="J385" i="4"/>
  <c r="J389" i="4"/>
  <c r="J393" i="4"/>
  <c r="J397" i="4"/>
  <c r="J401" i="4"/>
  <c r="H15" i="4"/>
  <c r="H23" i="4"/>
  <c r="H31" i="4"/>
  <c r="H269" i="4"/>
  <c r="H297" i="4"/>
  <c r="H301" i="4"/>
  <c r="H310" i="4"/>
  <c r="H312" i="4"/>
  <c r="H11" i="4"/>
  <c r="H19" i="4"/>
  <c r="H27" i="4"/>
  <c r="J38" i="4"/>
  <c r="J54" i="4"/>
  <c r="J70" i="4"/>
  <c r="J86" i="4"/>
  <c r="J102" i="4"/>
  <c r="J118" i="4"/>
  <c r="J134" i="4"/>
  <c r="J150" i="4"/>
  <c r="J166" i="4"/>
  <c r="J182" i="4"/>
  <c r="J202" i="4"/>
  <c r="J218" i="4"/>
  <c r="J234" i="4"/>
  <c r="J244" i="4"/>
  <c r="J252" i="4"/>
  <c r="H263" i="4"/>
  <c r="H267" i="4"/>
  <c r="H271" i="4"/>
  <c r="H275" i="4"/>
  <c r="H279" i="4"/>
  <c r="H283" i="4"/>
  <c r="H287" i="4"/>
  <c r="H291" i="4"/>
  <c r="H295" i="4"/>
  <c r="H299" i="4"/>
  <c r="H303" i="4"/>
  <c r="H307" i="4"/>
  <c r="J318" i="4"/>
  <c r="J326" i="4"/>
  <c r="J334" i="4"/>
  <c r="J342" i="4"/>
  <c r="J350" i="4"/>
  <c r="J359" i="4"/>
  <c r="J363" i="4"/>
  <c r="J367" i="4"/>
  <c r="J376" i="4"/>
  <c r="J380" i="4"/>
  <c r="J384" i="4"/>
  <c r="J388" i="4"/>
  <c r="J392" i="4"/>
  <c r="J396" i="4"/>
  <c r="J400" i="4"/>
  <c r="H239" i="4"/>
  <c r="J239" i="4"/>
  <c r="H9" i="4"/>
  <c r="H13" i="4"/>
  <c r="H17" i="4"/>
  <c r="H21" i="4"/>
  <c r="H25" i="4"/>
  <c r="H29" i="4"/>
  <c r="J34" i="4"/>
  <c r="J42" i="4"/>
  <c r="J50" i="4"/>
  <c r="J58" i="4"/>
  <c r="H74" i="4"/>
  <c r="J74" i="4"/>
  <c r="H81" i="4"/>
  <c r="J81" i="4"/>
  <c r="H90" i="4"/>
  <c r="J90" i="4"/>
  <c r="H97" i="4"/>
  <c r="J97" i="4"/>
  <c r="H106" i="4"/>
  <c r="J106" i="4"/>
  <c r="H113" i="4"/>
  <c r="J113" i="4"/>
  <c r="H122" i="4"/>
  <c r="J122" i="4"/>
  <c r="H129" i="4"/>
  <c r="J129" i="4"/>
  <c r="H138" i="4"/>
  <c r="J138" i="4"/>
  <c r="H145" i="4"/>
  <c r="J145" i="4"/>
  <c r="H154" i="4"/>
  <c r="J154" i="4"/>
  <c r="H161" i="4"/>
  <c r="J161" i="4"/>
  <c r="H170" i="4"/>
  <c r="J170" i="4"/>
  <c r="H177" i="4"/>
  <c r="J177" i="4"/>
  <c r="H195" i="4"/>
  <c r="J195" i="4"/>
  <c r="H206" i="4"/>
  <c r="J206" i="4"/>
  <c r="H211" i="4"/>
  <c r="J211" i="4"/>
  <c r="H222" i="4"/>
  <c r="J222" i="4"/>
  <c r="H227" i="4"/>
  <c r="J227" i="4"/>
  <c r="H315" i="4"/>
  <c r="J315" i="4"/>
  <c r="H320" i="4"/>
  <c r="J320" i="4"/>
  <c r="H323" i="4"/>
  <c r="J323" i="4"/>
  <c r="H328" i="4"/>
  <c r="J328" i="4"/>
  <c r="H331" i="4"/>
  <c r="J331" i="4"/>
  <c r="H336" i="4"/>
  <c r="J336" i="4"/>
  <c r="H339" i="4"/>
  <c r="J339" i="4"/>
  <c r="H344" i="4"/>
  <c r="J344" i="4"/>
  <c r="H347" i="4"/>
  <c r="J347" i="4"/>
  <c r="H352" i="4"/>
  <c r="J352" i="4"/>
  <c r="H355" i="4"/>
  <c r="J355" i="4"/>
  <c r="H66" i="4"/>
  <c r="J66" i="4"/>
  <c r="H73" i="4"/>
  <c r="J73" i="4"/>
  <c r="H82" i="4"/>
  <c r="J82" i="4"/>
  <c r="H89" i="4"/>
  <c r="J89" i="4"/>
  <c r="H98" i="4"/>
  <c r="J98" i="4"/>
  <c r="H105" i="4"/>
  <c r="J105" i="4"/>
  <c r="H114" i="4"/>
  <c r="J114" i="4"/>
  <c r="H121" i="4"/>
  <c r="J121" i="4"/>
  <c r="H130" i="4"/>
  <c r="J130" i="4"/>
  <c r="H137" i="4"/>
  <c r="J137" i="4"/>
  <c r="H146" i="4"/>
  <c r="J146" i="4"/>
  <c r="H153" i="4"/>
  <c r="J153" i="4"/>
  <c r="H162" i="4"/>
  <c r="J162" i="4"/>
  <c r="H169" i="4"/>
  <c r="J169" i="4"/>
  <c r="H178" i="4"/>
  <c r="J178" i="4"/>
  <c r="H185" i="4"/>
  <c r="J185" i="4"/>
  <c r="H198" i="4"/>
  <c r="J198" i="4"/>
  <c r="H203" i="4"/>
  <c r="J203" i="4"/>
  <c r="H214" i="4"/>
  <c r="J214" i="4"/>
  <c r="H219" i="4"/>
  <c r="J219" i="4"/>
  <c r="H230" i="4"/>
  <c r="J230" i="4"/>
  <c r="H235" i="4"/>
  <c r="J235" i="4"/>
  <c r="H316" i="4"/>
  <c r="J316" i="4"/>
  <c r="H319" i="4"/>
  <c r="J319" i="4"/>
  <c r="H324" i="4"/>
  <c r="J324" i="4"/>
  <c r="H327" i="4"/>
  <c r="J327" i="4"/>
  <c r="H332" i="4"/>
  <c r="J332" i="4"/>
  <c r="H335" i="4"/>
  <c r="J335" i="4"/>
  <c r="H340" i="4"/>
  <c r="J340" i="4"/>
  <c r="H343" i="4"/>
  <c r="J343" i="4"/>
  <c r="H348" i="4"/>
  <c r="J348" i="4"/>
  <c r="H351" i="4"/>
  <c r="J351" i="4"/>
  <c r="H10" i="4"/>
  <c r="H14" i="4"/>
  <c r="H18" i="4"/>
  <c r="H22" i="4"/>
  <c r="H26" i="4"/>
  <c r="H30" i="4"/>
  <c r="H242" i="4"/>
  <c r="J242" i="4"/>
  <c r="H247" i="4"/>
  <c r="J247" i="4"/>
  <c r="H250" i="4"/>
  <c r="J250" i="4"/>
  <c r="H255" i="4"/>
  <c r="J255" i="4"/>
  <c r="H258" i="4"/>
  <c r="J258" i="4"/>
  <c r="J33" i="4"/>
  <c r="J41" i="4"/>
  <c r="J49" i="4"/>
  <c r="J57" i="4"/>
  <c r="J65" i="4"/>
  <c r="H190" i="4"/>
  <c r="J190" i="4"/>
  <c r="H238" i="4"/>
  <c r="J238" i="4"/>
  <c r="H243" i="4"/>
  <c r="J243" i="4"/>
  <c r="H246" i="4"/>
  <c r="J246" i="4"/>
  <c r="H251" i="4"/>
  <c r="J251" i="4"/>
  <c r="H254" i="4"/>
  <c r="J254" i="4"/>
  <c r="H259" i="4"/>
  <c r="J259" i="4"/>
  <c r="J186" i="4"/>
  <c r="H197" i="4"/>
  <c r="J197" i="4"/>
  <c r="H205" i="4"/>
  <c r="J205" i="4"/>
  <c r="H208" i="4"/>
  <c r="J208" i="4"/>
  <c r="H216" i="4"/>
  <c r="J216" i="4"/>
  <c r="H229" i="4"/>
  <c r="J229" i="4"/>
  <c r="H436" i="4"/>
  <c r="J436" i="4"/>
  <c r="H440" i="4"/>
  <c r="J440" i="4"/>
  <c r="H442" i="4"/>
  <c r="J442" i="4"/>
  <c r="H446" i="4"/>
  <c r="J446" i="4"/>
  <c r="H450" i="4"/>
  <c r="J450" i="4"/>
  <c r="H454" i="4"/>
  <c r="J454" i="4"/>
  <c r="H458" i="4"/>
  <c r="J458" i="4"/>
  <c r="H460" i="4"/>
  <c r="J460" i="4"/>
  <c r="H464" i="4"/>
  <c r="J464" i="4"/>
  <c r="H466" i="4"/>
  <c r="J466" i="4"/>
  <c r="H470" i="4"/>
  <c r="J470" i="4"/>
  <c r="H476" i="4"/>
  <c r="J476" i="4"/>
  <c r="H478" i="4"/>
  <c r="J478" i="4"/>
  <c r="H482" i="4"/>
  <c r="J482" i="4"/>
  <c r="H486" i="4"/>
  <c r="J486" i="4"/>
  <c r="H490" i="4"/>
  <c r="J490" i="4"/>
  <c r="H494" i="4"/>
  <c r="J494" i="4"/>
  <c r="H498" i="4"/>
  <c r="J498" i="4"/>
  <c r="H502" i="4"/>
  <c r="J502" i="4"/>
  <c r="H506" i="4"/>
  <c r="J506" i="4"/>
  <c r="H510" i="4"/>
  <c r="J510" i="4"/>
  <c r="H514" i="4"/>
  <c r="J514" i="4"/>
  <c r="H520" i="4"/>
  <c r="J520" i="4"/>
  <c r="J524" i="4"/>
  <c r="H524" i="4"/>
  <c r="J528" i="4"/>
  <c r="H528" i="4"/>
  <c r="J532" i="4"/>
  <c r="H532" i="4"/>
  <c r="J534" i="4"/>
  <c r="H534" i="4"/>
  <c r="J538" i="4"/>
  <c r="H538" i="4"/>
  <c r="J544" i="4"/>
  <c r="H544" i="4"/>
  <c r="J546" i="4"/>
  <c r="H546" i="4"/>
  <c r="J550" i="4"/>
  <c r="H550" i="4"/>
  <c r="J554" i="4"/>
  <c r="H554" i="4"/>
  <c r="J558" i="4"/>
  <c r="H558" i="4"/>
  <c r="J562" i="4"/>
  <c r="H562" i="4"/>
  <c r="J566" i="4"/>
  <c r="H566" i="4"/>
  <c r="J570" i="4"/>
  <c r="H570" i="4"/>
  <c r="J574" i="4"/>
  <c r="H574" i="4"/>
  <c r="J578" i="4"/>
  <c r="H578" i="4"/>
  <c r="J589" i="4"/>
  <c r="H589" i="4"/>
  <c r="J622" i="4"/>
  <c r="H622" i="4"/>
  <c r="J638" i="4"/>
  <c r="H638" i="4"/>
  <c r="J642" i="4"/>
  <c r="H642" i="4"/>
  <c r="J646" i="4"/>
  <c r="H646" i="4"/>
  <c r="J648" i="4"/>
  <c r="H648" i="4"/>
  <c r="J652" i="4"/>
  <c r="H652" i="4"/>
  <c r="J36" i="4"/>
  <c r="J40" i="4"/>
  <c r="J44" i="4"/>
  <c r="J48" i="4"/>
  <c r="J52" i="4"/>
  <c r="J56" i="4"/>
  <c r="J60" i="4"/>
  <c r="J64" i="4"/>
  <c r="J68" i="4"/>
  <c r="J72" i="4"/>
  <c r="J76" i="4"/>
  <c r="J80" i="4"/>
  <c r="J84" i="4"/>
  <c r="J88" i="4"/>
  <c r="J92" i="4"/>
  <c r="J96" i="4"/>
  <c r="J100" i="4"/>
  <c r="J104" i="4"/>
  <c r="J108" i="4"/>
  <c r="J112" i="4"/>
  <c r="J116" i="4"/>
  <c r="J120" i="4"/>
  <c r="J124" i="4"/>
  <c r="J128" i="4"/>
  <c r="J132" i="4"/>
  <c r="J136" i="4"/>
  <c r="J140" i="4"/>
  <c r="J144" i="4"/>
  <c r="J148" i="4"/>
  <c r="J152" i="4"/>
  <c r="J156" i="4"/>
  <c r="J160" i="4"/>
  <c r="J164" i="4"/>
  <c r="J168" i="4"/>
  <c r="J172" i="4"/>
  <c r="J176" i="4"/>
  <c r="J180" i="4"/>
  <c r="J184" i="4"/>
  <c r="J188" i="4"/>
  <c r="H193" i="4"/>
  <c r="J193" i="4"/>
  <c r="H196" i="4"/>
  <c r="J196" i="4"/>
  <c r="H201" i="4"/>
  <c r="J201" i="4"/>
  <c r="H204" i="4"/>
  <c r="J204" i="4"/>
  <c r="H209" i="4"/>
  <c r="J209" i="4"/>
  <c r="H212" i="4"/>
  <c r="J212" i="4"/>
  <c r="H217" i="4"/>
  <c r="J217" i="4"/>
  <c r="H220" i="4"/>
  <c r="J220" i="4"/>
  <c r="H225" i="4"/>
  <c r="J225" i="4"/>
  <c r="H233" i="4"/>
  <c r="J233" i="4"/>
  <c r="H192" i="4"/>
  <c r="J192" i="4"/>
  <c r="H200" i="4"/>
  <c r="J200" i="4"/>
  <c r="H213" i="4"/>
  <c r="J213" i="4"/>
  <c r="H221" i="4"/>
  <c r="J221" i="4"/>
  <c r="H438" i="4"/>
  <c r="J438" i="4"/>
  <c r="H444" i="4"/>
  <c r="J444" i="4"/>
  <c r="H448" i="4"/>
  <c r="J448" i="4"/>
  <c r="H452" i="4"/>
  <c r="J452" i="4"/>
  <c r="H456" i="4"/>
  <c r="J456" i="4"/>
  <c r="H462" i="4"/>
  <c r="J462" i="4"/>
  <c r="H468" i="4"/>
  <c r="J468" i="4"/>
  <c r="H472" i="4"/>
  <c r="J472" i="4"/>
  <c r="H474" i="4"/>
  <c r="J474" i="4"/>
  <c r="H480" i="4"/>
  <c r="J480" i="4"/>
  <c r="H484" i="4"/>
  <c r="J484" i="4"/>
  <c r="H488" i="4"/>
  <c r="J488" i="4"/>
  <c r="H492" i="4"/>
  <c r="J492" i="4"/>
  <c r="H496" i="4"/>
  <c r="J496" i="4"/>
  <c r="H500" i="4"/>
  <c r="J500" i="4"/>
  <c r="H504" i="4"/>
  <c r="J504" i="4"/>
  <c r="H508" i="4"/>
  <c r="J508" i="4"/>
  <c r="H512" i="4"/>
  <c r="J512" i="4"/>
  <c r="H516" i="4"/>
  <c r="J516" i="4"/>
  <c r="H518" i="4"/>
  <c r="J518" i="4"/>
  <c r="J522" i="4"/>
  <c r="H522" i="4"/>
  <c r="J526" i="4"/>
  <c r="H526" i="4"/>
  <c r="J530" i="4"/>
  <c r="H530" i="4"/>
  <c r="J536" i="4"/>
  <c r="H536" i="4"/>
  <c r="J540" i="4"/>
  <c r="H540" i="4"/>
  <c r="J542" i="4"/>
  <c r="H542" i="4"/>
  <c r="J548" i="4"/>
  <c r="H548" i="4"/>
  <c r="J552" i="4"/>
  <c r="H552" i="4"/>
  <c r="J556" i="4"/>
  <c r="H556" i="4"/>
  <c r="J560" i="4"/>
  <c r="H560" i="4"/>
  <c r="J564" i="4"/>
  <c r="H564" i="4"/>
  <c r="J568" i="4"/>
  <c r="H568" i="4"/>
  <c r="J572" i="4"/>
  <c r="H572" i="4"/>
  <c r="J576" i="4"/>
  <c r="H576" i="4"/>
  <c r="J580" i="4"/>
  <c r="H580" i="4"/>
  <c r="J620" i="4"/>
  <c r="H620" i="4"/>
  <c r="J624" i="4"/>
  <c r="H624" i="4"/>
  <c r="J640" i="4"/>
  <c r="H640" i="4"/>
  <c r="J644" i="4"/>
  <c r="H644" i="4"/>
  <c r="J650" i="4"/>
  <c r="H650" i="4"/>
  <c r="J35" i="4"/>
  <c r="J39" i="4"/>
  <c r="J43" i="4"/>
  <c r="J47" i="4"/>
  <c r="J51" i="4"/>
  <c r="J55" i="4"/>
  <c r="J59" i="4"/>
  <c r="J63" i="4"/>
  <c r="J67" i="4"/>
  <c r="J71" i="4"/>
  <c r="J75" i="4"/>
  <c r="J79" i="4"/>
  <c r="J83" i="4"/>
  <c r="J87" i="4"/>
  <c r="J91" i="4"/>
  <c r="J95" i="4"/>
  <c r="J99" i="4"/>
  <c r="J103" i="4"/>
  <c r="J107" i="4"/>
  <c r="J111" i="4"/>
  <c r="J115" i="4"/>
  <c r="J119" i="4"/>
  <c r="J123" i="4"/>
  <c r="J127" i="4"/>
  <c r="J131" i="4"/>
  <c r="J135" i="4"/>
  <c r="J139" i="4"/>
  <c r="J143" i="4"/>
  <c r="J147" i="4"/>
  <c r="J151" i="4"/>
  <c r="J155" i="4"/>
  <c r="J159" i="4"/>
  <c r="J163" i="4"/>
  <c r="J167" i="4"/>
  <c r="J171" i="4"/>
  <c r="J175" i="4"/>
  <c r="J179" i="4"/>
  <c r="J183" i="4"/>
  <c r="J187" i="4"/>
  <c r="J191" i="4"/>
  <c r="J224" i="4"/>
  <c r="J228" i="4"/>
  <c r="J232" i="4"/>
  <c r="J236" i="4"/>
  <c r="H437" i="4"/>
  <c r="J437" i="4"/>
  <c r="H439" i="4"/>
  <c r="J439" i="4"/>
  <c r="H441" i="4"/>
  <c r="J441" i="4"/>
  <c r="H443" i="4"/>
  <c r="J443" i="4"/>
  <c r="H445" i="4"/>
  <c r="J445" i="4"/>
  <c r="H447" i="4"/>
  <c r="J447" i="4"/>
  <c r="H449" i="4"/>
  <c r="J449" i="4"/>
  <c r="H451" i="4"/>
  <c r="J451" i="4"/>
  <c r="H453" i="4"/>
  <c r="J453" i="4"/>
  <c r="H455" i="4"/>
  <c r="J455" i="4"/>
  <c r="H457" i="4"/>
  <c r="J457" i="4"/>
  <c r="H459" i="4"/>
  <c r="J459" i="4"/>
  <c r="H461" i="4"/>
  <c r="J461" i="4"/>
  <c r="H463" i="4"/>
  <c r="J463" i="4"/>
  <c r="H465" i="4"/>
  <c r="J465" i="4"/>
  <c r="H467" i="4"/>
  <c r="J467" i="4"/>
  <c r="H469" i="4"/>
  <c r="J469" i="4"/>
  <c r="H471" i="4"/>
  <c r="J471" i="4"/>
  <c r="H473" i="4"/>
  <c r="J473" i="4"/>
  <c r="H475" i="4"/>
  <c r="J475" i="4"/>
  <c r="H477" i="4"/>
  <c r="J477" i="4"/>
  <c r="H479" i="4"/>
  <c r="J479" i="4"/>
  <c r="H481" i="4"/>
  <c r="J481" i="4"/>
  <c r="H483" i="4"/>
  <c r="J483" i="4"/>
  <c r="H485" i="4"/>
  <c r="J485" i="4"/>
  <c r="H487" i="4"/>
  <c r="J487" i="4"/>
  <c r="H489" i="4"/>
  <c r="J489" i="4"/>
  <c r="H491" i="4"/>
  <c r="J491" i="4"/>
  <c r="H493" i="4"/>
  <c r="J493" i="4"/>
  <c r="H495" i="4"/>
  <c r="J495" i="4"/>
  <c r="H497" i="4"/>
  <c r="J497" i="4"/>
  <c r="H499" i="4"/>
  <c r="J499" i="4"/>
  <c r="H501" i="4"/>
  <c r="J501" i="4"/>
  <c r="H503" i="4"/>
  <c r="J503" i="4"/>
  <c r="H505" i="4"/>
  <c r="J505" i="4"/>
  <c r="H507" i="4"/>
  <c r="J507" i="4"/>
  <c r="H509" i="4"/>
  <c r="J509" i="4"/>
  <c r="H511" i="4"/>
  <c r="J511" i="4"/>
  <c r="H513" i="4"/>
  <c r="J513" i="4"/>
  <c r="H515" i="4"/>
  <c r="J515" i="4"/>
  <c r="H517" i="4"/>
  <c r="J517" i="4"/>
  <c r="H519" i="4"/>
  <c r="J519" i="4"/>
  <c r="J521" i="4"/>
  <c r="H521" i="4"/>
  <c r="J523" i="4"/>
  <c r="H523" i="4"/>
  <c r="J525" i="4"/>
  <c r="H525" i="4"/>
  <c r="J527" i="4"/>
  <c r="H527" i="4"/>
  <c r="J529" i="4"/>
  <c r="H529" i="4"/>
  <c r="J531" i="4"/>
  <c r="H531" i="4"/>
  <c r="J533" i="4"/>
  <c r="H533" i="4"/>
  <c r="J535" i="4"/>
  <c r="H535" i="4"/>
  <c r="J537" i="4"/>
  <c r="H537" i="4"/>
  <c r="J539" i="4"/>
  <c r="H539" i="4"/>
  <c r="J541" i="4"/>
  <c r="H541" i="4"/>
  <c r="J543" i="4"/>
  <c r="H543" i="4"/>
  <c r="J545" i="4"/>
  <c r="H545" i="4"/>
  <c r="J547" i="4"/>
  <c r="H547" i="4"/>
  <c r="J549" i="4"/>
  <c r="H549" i="4"/>
  <c r="J551" i="4"/>
  <c r="H551" i="4"/>
  <c r="J553" i="4"/>
  <c r="H553" i="4"/>
  <c r="J555" i="4"/>
  <c r="H555" i="4"/>
  <c r="J557" i="4"/>
  <c r="H557" i="4"/>
  <c r="J559" i="4"/>
  <c r="H559" i="4"/>
  <c r="J561" i="4"/>
  <c r="H561" i="4"/>
  <c r="J563" i="4"/>
  <c r="H563" i="4"/>
  <c r="J565" i="4"/>
  <c r="H565" i="4"/>
  <c r="J567" i="4"/>
  <c r="H567" i="4"/>
  <c r="J569" i="4"/>
  <c r="H569" i="4"/>
  <c r="J571" i="4"/>
  <c r="H571" i="4"/>
  <c r="J573" i="4"/>
  <c r="H573" i="4"/>
  <c r="J575" i="4"/>
  <c r="H575" i="4"/>
  <c r="J577" i="4"/>
  <c r="H577" i="4"/>
  <c r="J579" i="4"/>
  <c r="H579" i="4"/>
  <c r="J619" i="4"/>
  <c r="H619" i="4"/>
  <c r="J621" i="4"/>
  <c r="H621" i="4"/>
  <c r="J623" i="4"/>
  <c r="H623" i="4"/>
  <c r="J637" i="4"/>
  <c r="H637" i="4"/>
  <c r="J639" i="4"/>
  <c r="H639" i="4"/>
  <c r="J641" i="4"/>
  <c r="H641" i="4"/>
  <c r="J643" i="4"/>
  <c r="H643" i="4"/>
  <c r="J645" i="4"/>
  <c r="H645" i="4"/>
  <c r="J647" i="4"/>
  <c r="H647" i="4"/>
  <c r="J649" i="4"/>
  <c r="H649" i="4"/>
  <c r="J651" i="4"/>
  <c r="H651" i="4"/>
  <c r="J653" i="4"/>
  <c r="H653" i="4"/>
  <c r="L390" i="1"/>
  <c r="M390" i="1" s="1"/>
  <c r="L580" i="4" l="1"/>
  <c r="L579" i="4"/>
  <c r="L578" i="4"/>
  <c r="L577" i="4"/>
  <c r="L576" i="4"/>
  <c r="L575" i="4"/>
  <c r="L574" i="4"/>
  <c r="L573" i="4"/>
  <c r="L406" i="4"/>
  <c r="M406" i="4" s="1"/>
  <c r="L405" i="4"/>
  <c r="M405" i="4" s="1"/>
  <c r="L404" i="4"/>
  <c r="M404" i="4" s="1"/>
  <c r="L403" i="4"/>
  <c r="M403" i="4" s="1"/>
  <c r="L402" i="4"/>
  <c r="M402" i="4" s="1"/>
  <c r="L401" i="4"/>
  <c r="M401" i="4" s="1"/>
  <c r="L435" i="4"/>
  <c r="L408" i="4"/>
  <c r="M408" i="4" s="1"/>
  <c r="L407" i="4"/>
  <c r="M407" i="4" s="1"/>
  <c r="L641" i="4"/>
  <c r="M641" i="4" s="1"/>
  <c r="L653" i="4"/>
  <c r="M653" i="4" s="1"/>
  <c r="L652" i="4"/>
  <c r="M652" i="4" s="1"/>
  <c r="L651" i="4"/>
  <c r="M651" i="4" s="1"/>
  <c r="L650" i="4"/>
  <c r="M650" i="4" s="1"/>
  <c r="L649" i="4"/>
  <c r="M649" i="4" s="1"/>
  <c r="L648" i="4"/>
  <c r="M648" i="4" s="1"/>
  <c r="L647" i="4"/>
  <c r="M647" i="4" s="1"/>
  <c r="L646" i="4"/>
  <c r="M646" i="4" s="1"/>
  <c r="L645" i="4"/>
  <c r="M645" i="4" s="1"/>
  <c r="L644" i="4"/>
  <c r="M644" i="4" s="1"/>
  <c r="L643" i="4"/>
  <c r="M643" i="4" s="1"/>
  <c r="L642" i="4"/>
  <c r="M642" i="4" s="1"/>
  <c r="L640" i="4"/>
  <c r="M640" i="4" s="1"/>
  <c r="L639" i="4"/>
  <c r="M639" i="4" s="1"/>
  <c r="L638" i="4"/>
  <c r="M638" i="4" s="1"/>
  <c r="L498" i="4"/>
  <c r="L497" i="4"/>
  <c r="L496" i="4"/>
  <c r="L495" i="4"/>
  <c r="L494" i="4"/>
  <c r="L493" i="4"/>
  <c r="L492" i="4"/>
  <c r="L491" i="4"/>
  <c r="L490" i="4"/>
  <c r="L489" i="4"/>
  <c r="L488" i="4"/>
  <c r="L487" i="4"/>
  <c r="L486" i="4"/>
  <c r="L652" i="1"/>
  <c r="M652" i="1" s="1"/>
  <c r="L651" i="1"/>
  <c r="M651" i="1" s="1"/>
  <c r="L650" i="1"/>
  <c r="M650" i="1" s="1"/>
  <c r="L649" i="1"/>
  <c r="M649" i="1" s="1"/>
  <c r="L648" i="1"/>
  <c r="M648" i="1" s="1"/>
  <c r="L647" i="1"/>
  <c r="M647" i="1" s="1"/>
  <c r="L319" i="4"/>
  <c r="M319" i="4" s="1"/>
  <c r="L318" i="4"/>
  <c r="M318" i="4" s="1"/>
  <c r="L317" i="4"/>
  <c r="M317" i="4" s="1"/>
  <c r="L619" i="4"/>
  <c r="M619" i="4" s="1"/>
  <c r="L620" i="4"/>
  <c r="M620" i="4" s="1"/>
  <c r="L621" i="4"/>
  <c r="M621" i="4" s="1"/>
  <c r="L622" i="4"/>
  <c r="M622" i="4" s="1"/>
  <c r="L554" i="4"/>
  <c r="M554" i="4" s="1"/>
  <c r="L555" i="4"/>
  <c r="M555" i="4" s="1"/>
  <c r="L556" i="4"/>
  <c r="M556" i="4" s="1"/>
  <c r="L557" i="4"/>
  <c r="M557" i="4" s="1"/>
  <c r="L558" i="4"/>
  <c r="M558" i="4" s="1"/>
  <c r="L559" i="4"/>
  <c r="M559" i="4" s="1"/>
  <c r="L560" i="4"/>
  <c r="M560" i="4" s="1"/>
  <c r="L561" i="4"/>
  <c r="M561" i="4" s="1"/>
  <c r="L562" i="4"/>
  <c r="M562" i="4" s="1"/>
  <c r="L563" i="4"/>
  <c r="M563" i="4" s="1"/>
  <c r="L564" i="4"/>
  <c r="M564" i="4" s="1"/>
  <c r="L518" i="4"/>
  <c r="M518" i="4" s="1"/>
  <c r="L519" i="4"/>
  <c r="M519" i="4" s="1"/>
  <c r="L520" i="4"/>
  <c r="M520" i="4" s="1"/>
  <c r="L521" i="4"/>
  <c r="M521" i="4" s="1"/>
  <c r="L522" i="4"/>
  <c r="M522" i="4" s="1"/>
  <c r="L523" i="4"/>
  <c r="M523" i="4" s="1"/>
  <c r="L524" i="4"/>
  <c r="M524" i="4" s="1"/>
  <c r="L525" i="4"/>
  <c r="M525" i="4" s="1"/>
  <c r="L526" i="4"/>
  <c r="M526" i="4" s="1"/>
  <c r="L527" i="4"/>
  <c r="M527" i="4" s="1"/>
  <c r="L364" i="4"/>
  <c r="M364" i="4" s="1"/>
  <c r="G11" i="2"/>
  <c r="H11" i="2" s="1"/>
  <c r="I11" i="2"/>
  <c r="L11" i="2"/>
  <c r="M11" i="2" s="1"/>
  <c r="G12" i="2"/>
  <c r="H12" i="2" s="1"/>
  <c r="I12" i="2"/>
  <c r="L12" i="2"/>
  <c r="M12" i="2" s="1"/>
  <c r="L565" i="4"/>
  <c r="M565" i="4" s="1"/>
  <c r="L571" i="4"/>
  <c r="M571" i="4" s="1"/>
  <c r="L570" i="4"/>
  <c r="M570" i="4" s="1"/>
  <c r="L569" i="4"/>
  <c r="M569" i="4" s="1"/>
  <c r="L568" i="4"/>
  <c r="M568" i="4" s="1"/>
  <c r="L567" i="4"/>
  <c r="M567" i="4" s="1"/>
  <c r="L566" i="4"/>
  <c r="M566" i="4" s="1"/>
  <c r="L589" i="4"/>
  <c r="M589" i="4" s="1"/>
  <c r="L552" i="4"/>
  <c r="M552" i="4" s="1"/>
  <c r="L551" i="4"/>
  <c r="M551" i="4" s="1"/>
  <c r="L624" i="4"/>
  <c r="M624" i="4" s="1"/>
  <c r="L623" i="4"/>
  <c r="M623" i="4" s="1"/>
  <c r="L572" i="4"/>
  <c r="M572" i="4" s="1"/>
  <c r="I7" i="4" l="1"/>
  <c r="L251" i="4"/>
  <c r="M251" i="4" s="1"/>
  <c r="L250" i="4"/>
  <c r="M250" i="4" s="1"/>
  <c r="L322" i="1"/>
  <c r="M322" i="1" s="1"/>
  <c r="L321" i="1"/>
  <c r="M321" i="1" s="1"/>
  <c r="L320" i="1"/>
  <c r="M320" i="1" s="1"/>
  <c r="L319" i="1"/>
  <c r="M319" i="1" s="1"/>
  <c r="L317" i="1"/>
  <c r="M317" i="1" s="1"/>
  <c r="L316" i="1"/>
  <c r="M316" i="1" s="1"/>
  <c r="L315" i="1"/>
  <c r="M315" i="1" s="1"/>
  <c r="L314" i="1"/>
  <c r="M314" i="1" s="1"/>
  <c r="L313" i="1"/>
  <c r="M313" i="1" s="1"/>
  <c r="L312" i="1"/>
  <c r="M312" i="1" s="1"/>
  <c r="L311" i="1"/>
  <c r="M311" i="1" s="1"/>
  <c r="L310" i="1"/>
  <c r="M310" i="1" s="1"/>
  <c r="L309" i="1"/>
  <c r="M309" i="1" s="1"/>
  <c r="L308" i="1"/>
  <c r="M308" i="1" s="1"/>
  <c r="L307" i="1"/>
  <c r="M307" i="1" s="1"/>
  <c r="L306" i="1"/>
  <c r="M306" i="1" s="1"/>
  <c r="L305" i="1"/>
  <c r="M305" i="1" s="1"/>
  <c r="F8" i="3"/>
  <c r="G48" i="2"/>
  <c r="H48" i="2" s="1"/>
  <c r="G47" i="2"/>
  <c r="H47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8" i="2" s="1"/>
  <c r="G37" i="2"/>
  <c r="H37" i="2" s="1"/>
  <c r="G36" i="2"/>
  <c r="H36" i="2" s="1"/>
  <c r="G35" i="2"/>
  <c r="H35" i="2" s="1"/>
  <c r="G34" i="2"/>
  <c r="H34" i="2" s="1"/>
  <c r="G33" i="2"/>
  <c r="H33" i="2" s="1"/>
  <c r="G32" i="2"/>
  <c r="H32" i="2" s="1"/>
  <c r="G31" i="2"/>
  <c r="H31" i="2" s="1"/>
  <c r="G30" i="2"/>
  <c r="H30" i="2" s="1"/>
  <c r="G29" i="2"/>
  <c r="H29" i="2" s="1"/>
  <c r="G28" i="2"/>
  <c r="H28" i="2" s="1"/>
  <c r="G27" i="2"/>
  <c r="H27" i="2" s="1"/>
  <c r="G26" i="2"/>
  <c r="H26" i="2" s="1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0" i="2"/>
  <c r="H10" i="2" s="1"/>
  <c r="G8" i="2"/>
  <c r="H8" i="2" s="1"/>
  <c r="G9" i="2"/>
  <c r="H9" i="2" s="1"/>
  <c r="F6" i="3"/>
  <c r="G6" i="3" s="1"/>
  <c r="F7" i="3"/>
  <c r="G7" i="3" s="1"/>
  <c r="G7" i="4"/>
  <c r="J7" i="4" s="1"/>
  <c r="G7" i="1"/>
  <c r="H7" i="1" s="1"/>
  <c r="L550" i="4"/>
  <c r="M550" i="4" s="1"/>
  <c r="L549" i="4"/>
  <c r="M549" i="4" s="1"/>
  <c r="L548" i="4"/>
  <c r="M548" i="4" s="1"/>
  <c r="L547" i="4"/>
  <c r="M547" i="4" s="1"/>
  <c r="L546" i="4"/>
  <c r="M546" i="4" s="1"/>
  <c r="L545" i="4"/>
  <c r="M545" i="4" s="1"/>
  <c r="L544" i="4"/>
  <c r="M544" i="4" s="1"/>
  <c r="L543" i="4"/>
  <c r="M543" i="4" s="1"/>
  <c r="L542" i="4"/>
  <c r="M542" i="4" s="1"/>
  <c r="L541" i="4"/>
  <c r="M541" i="4" s="1"/>
  <c r="L540" i="4"/>
  <c r="M540" i="4" s="1"/>
  <c r="L539" i="4"/>
  <c r="M539" i="4" s="1"/>
  <c r="L538" i="4"/>
  <c r="M538" i="4" s="1"/>
  <c r="L537" i="4"/>
  <c r="M537" i="4" s="1"/>
  <c r="L536" i="4"/>
  <c r="M536" i="4" s="1"/>
  <c r="L535" i="4"/>
  <c r="M535" i="4" s="1"/>
  <c r="L534" i="4"/>
  <c r="M534" i="4" s="1"/>
  <c r="L533" i="4"/>
  <c r="M533" i="4" s="1"/>
  <c r="L532" i="4"/>
  <c r="M532" i="4" s="1"/>
  <c r="L531" i="4"/>
  <c r="M531" i="4" s="1"/>
  <c r="L530" i="4"/>
  <c r="M530" i="4" s="1"/>
  <c r="L529" i="4"/>
  <c r="M529" i="4" s="1"/>
  <c r="L528" i="4"/>
  <c r="M528" i="4" s="1"/>
  <c r="L511" i="4"/>
  <c r="M511" i="4" s="1"/>
  <c r="L510" i="4"/>
  <c r="M510" i="4" s="1"/>
  <c r="L509" i="4"/>
  <c r="M509" i="4" s="1"/>
  <c r="L508" i="4"/>
  <c r="M508" i="4" s="1"/>
  <c r="L507" i="4"/>
  <c r="M507" i="4" s="1"/>
  <c r="L506" i="4"/>
  <c r="M506" i="4" s="1"/>
  <c r="L505" i="4"/>
  <c r="M505" i="4" s="1"/>
  <c r="L504" i="4"/>
  <c r="M504" i="4" s="1"/>
  <c r="L503" i="4"/>
  <c r="M503" i="4" s="1"/>
  <c r="L502" i="4"/>
  <c r="M502" i="4" s="1"/>
  <c r="L501" i="4"/>
  <c r="M501" i="4" s="1"/>
  <c r="L500" i="4"/>
  <c r="M500" i="4" s="1"/>
  <c r="L499" i="4"/>
  <c r="M499" i="4" s="1"/>
  <c r="L485" i="4"/>
  <c r="M485" i="4" s="1"/>
  <c r="L484" i="4"/>
  <c r="M484" i="4" s="1"/>
  <c r="L483" i="4"/>
  <c r="M483" i="4" s="1"/>
  <c r="L482" i="4"/>
  <c r="M482" i="4" s="1"/>
  <c r="L481" i="4"/>
  <c r="M481" i="4" s="1"/>
  <c r="L480" i="4"/>
  <c r="M480" i="4" s="1"/>
  <c r="L479" i="4"/>
  <c r="M479" i="4" s="1"/>
  <c r="L478" i="4"/>
  <c r="M478" i="4" s="1"/>
  <c r="L477" i="4"/>
  <c r="M477" i="4" s="1"/>
  <c r="L476" i="4"/>
  <c r="M476" i="4" s="1"/>
  <c r="L475" i="4"/>
  <c r="M475" i="4" s="1"/>
  <c r="L474" i="4"/>
  <c r="M474" i="4" s="1"/>
  <c r="L473" i="4"/>
  <c r="M473" i="4" s="1"/>
  <c r="L472" i="4"/>
  <c r="M472" i="4" s="1"/>
  <c r="L471" i="4"/>
  <c r="M471" i="4" s="1"/>
  <c r="L470" i="4"/>
  <c r="M470" i="4" s="1"/>
  <c r="L469" i="4"/>
  <c r="M469" i="4" s="1"/>
  <c r="L468" i="4"/>
  <c r="M468" i="4" s="1"/>
  <c r="L467" i="4"/>
  <c r="M467" i="4" s="1"/>
  <c r="L466" i="4"/>
  <c r="M466" i="4" s="1"/>
  <c r="L465" i="4"/>
  <c r="M465" i="4" s="1"/>
  <c r="L464" i="4"/>
  <c r="M464" i="4" s="1"/>
  <c r="L463" i="4"/>
  <c r="M463" i="4" s="1"/>
  <c r="L462" i="4"/>
  <c r="M462" i="4" s="1"/>
  <c r="L461" i="4"/>
  <c r="M461" i="4" s="1"/>
  <c r="L460" i="4"/>
  <c r="M460" i="4" s="1"/>
  <c r="L459" i="4"/>
  <c r="M459" i="4" s="1"/>
  <c r="L455" i="4"/>
  <c r="M455" i="4" s="1"/>
  <c r="L454" i="4"/>
  <c r="M454" i="4" s="1"/>
  <c r="L453" i="4"/>
  <c r="M453" i="4" s="1"/>
  <c r="L452" i="4"/>
  <c r="M452" i="4" s="1"/>
  <c r="L451" i="4"/>
  <c r="M451" i="4" s="1"/>
  <c r="L450" i="4"/>
  <c r="M450" i="4" s="1"/>
  <c r="L449" i="4"/>
  <c r="M449" i="4" s="1"/>
  <c r="L448" i="4"/>
  <c r="M448" i="4" s="1"/>
  <c r="L447" i="4"/>
  <c r="M447" i="4" s="1"/>
  <c r="L446" i="4"/>
  <c r="M446" i="4" s="1"/>
  <c r="L445" i="4"/>
  <c r="M445" i="4" s="1"/>
  <c r="L444" i="4"/>
  <c r="M444" i="4" s="1"/>
  <c r="L443" i="4"/>
  <c r="M443" i="4" s="1"/>
  <c r="L442" i="4"/>
  <c r="M442" i="4" s="1"/>
  <c r="L441" i="4"/>
  <c r="M441" i="4" s="1"/>
  <c r="L440" i="4"/>
  <c r="M440" i="4" s="1"/>
  <c r="L439" i="4"/>
  <c r="M439" i="4" s="1"/>
  <c r="L438" i="4"/>
  <c r="M438" i="4" s="1"/>
  <c r="L437" i="4"/>
  <c r="M437" i="4" s="1"/>
  <c r="L436" i="4"/>
  <c r="M436" i="4" s="1"/>
  <c r="M435" i="4"/>
  <c r="L400" i="4"/>
  <c r="M400" i="4" s="1"/>
  <c r="L399" i="4"/>
  <c r="M399" i="4" s="1"/>
  <c r="L398" i="4"/>
  <c r="M398" i="4" s="1"/>
  <c r="L397" i="4"/>
  <c r="M397" i="4" s="1"/>
  <c r="L396" i="4"/>
  <c r="M396" i="4" s="1"/>
  <c r="L395" i="4"/>
  <c r="M395" i="4" s="1"/>
  <c r="L394" i="4"/>
  <c r="M394" i="4" s="1"/>
  <c r="L393" i="4"/>
  <c r="M393" i="4" s="1"/>
  <c r="L392" i="4"/>
  <c r="M392" i="4" s="1"/>
  <c r="L391" i="4"/>
  <c r="M391" i="4" s="1"/>
  <c r="L390" i="4"/>
  <c r="M390" i="4" s="1"/>
  <c r="L389" i="4"/>
  <c r="M389" i="4" s="1"/>
  <c r="L388" i="4"/>
  <c r="M388" i="4" s="1"/>
  <c r="L387" i="4"/>
  <c r="M387" i="4" s="1"/>
  <c r="L386" i="4"/>
  <c r="M386" i="4" s="1"/>
  <c r="L385" i="4"/>
  <c r="M385" i="4" s="1"/>
  <c r="L384" i="4"/>
  <c r="M384" i="4" s="1"/>
  <c r="L383" i="4"/>
  <c r="M383" i="4" s="1"/>
  <c r="L382" i="4"/>
  <c r="M382" i="4" s="1"/>
  <c r="L381" i="4"/>
  <c r="M381" i="4" s="1"/>
  <c r="L380" i="4"/>
  <c r="M380" i="4" s="1"/>
  <c r="L379" i="4"/>
  <c r="M379" i="4" s="1"/>
  <c r="L378" i="4"/>
  <c r="M378" i="4" s="1"/>
  <c r="L377" i="4"/>
  <c r="M377" i="4" s="1"/>
  <c r="L376" i="4"/>
  <c r="M376" i="4" s="1"/>
  <c r="L375" i="4"/>
  <c r="M375" i="4" s="1"/>
  <c r="L374" i="4"/>
  <c r="M374" i="4" s="1"/>
  <c r="L373" i="4"/>
  <c r="M373" i="4" s="1"/>
  <c r="L367" i="4"/>
  <c r="M367" i="4" s="1"/>
  <c r="L366" i="4"/>
  <c r="M366" i="4" s="1"/>
  <c r="L365" i="4"/>
  <c r="M365" i="4" s="1"/>
  <c r="L363" i="4"/>
  <c r="M363" i="4" s="1"/>
  <c r="L362" i="4"/>
  <c r="M362" i="4" s="1"/>
  <c r="L361" i="4"/>
  <c r="M361" i="4" s="1"/>
  <c r="L360" i="4"/>
  <c r="M360" i="4" s="1"/>
  <c r="L359" i="4"/>
  <c r="M359" i="4" s="1"/>
  <c r="L358" i="4"/>
  <c r="M358" i="4" s="1"/>
  <c r="L357" i="4"/>
  <c r="M357" i="4" s="1"/>
  <c r="L356" i="4"/>
  <c r="M356" i="4" s="1"/>
  <c r="L355" i="4"/>
  <c r="M355" i="4" s="1"/>
  <c r="L354" i="4"/>
  <c r="M354" i="4" s="1"/>
  <c r="L353" i="4"/>
  <c r="M353" i="4" s="1"/>
  <c r="L352" i="4"/>
  <c r="M352" i="4" s="1"/>
  <c r="L351" i="4"/>
  <c r="M351" i="4" s="1"/>
  <c r="L350" i="4"/>
  <c r="M350" i="4" s="1"/>
  <c r="L349" i="4"/>
  <c r="M349" i="4" s="1"/>
  <c r="L348" i="4"/>
  <c r="M348" i="4" s="1"/>
  <c r="L347" i="4"/>
  <c r="M347" i="4" s="1"/>
  <c r="L346" i="4"/>
  <c r="M346" i="4" s="1"/>
  <c r="L345" i="4"/>
  <c r="M345" i="4" s="1"/>
  <c r="L344" i="4"/>
  <c r="M344" i="4" s="1"/>
  <c r="L343" i="4"/>
  <c r="M343" i="4" s="1"/>
  <c r="L342" i="4"/>
  <c r="M342" i="4" s="1"/>
  <c r="L341" i="4"/>
  <c r="M341" i="4" s="1"/>
  <c r="L340" i="4"/>
  <c r="M340" i="4" s="1"/>
  <c r="L339" i="4"/>
  <c r="M339" i="4" s="1"/>
  <c r="L338" i="4"/>
  <c r="M338" i="4" s="1"/>
  <c r="L337" i="4"/>
  <c r="M337" i="4" s="1"/>
  <c r="L336" i="4"/>
  <c r="M336" i="4" s="1"/>
  <c r="L335" i="4"/>
  <c r="M335" i="4" s="1"/>
  <c r="L334" i="4"/>
  <c r="M334" i="4" s="1"/>
  <c r="L333" i="4"/>
  <c r="M333" i="4" s="1"/>
  <c r="L332" i="4"/>
  <c r="M332" i="4" s="1"/>
  <c r="L331" i="4"/>
  <c r="M331" i="4" s="1"/>
  <c r="L330" i="4"/>
  <c r="M330" i="4" s="1"/>
  <c r="L329" i="4"/>
  <c r="M329" i="4" s="1"/>
  <c r="L328" i="4"/>
  <c r="M328" i="4" s="1"/>
  <c r="L327" i="4"/>
  <c r="M327" i="4" s="1"/>
  <c r="L326" i="4"/>
  <c r="M326" i="4" s="1"/>
  <c r="L325" i="4"/>
  <c r="M325" i="4" s="1"/>
  <c r="L324" i="4"/>
  <c r="M324" i="4" s="1"/>
  <c r="L321" i="4"/>
  <c r="M321" i="4" s="1"/>
  <c r="L320" i="4"/>
  <c r="M320" i="4" s="1"/>
  <c r="L316" i="4"/>
  <c r="M316" i="4" s="1"/>
  <c r="L315" i="4"/>
  <c r="M315" i="4" s="1"/>
  <c r="L314" i="4"/>
  <c r="M314" i="4" s="1"/>
  <c r="L313" i="4"/>
  <c r="M313" i="4" s="1"/>
  <c r="L312" i="4"/>
  <c r="M312" i="4" s="1"/>
  <c r="L311" i="4"/>
  <c r="M311" i="4" s="1"/>
  <c r="L310" i="4"/>
  <c r="M310" i="4" s="1"/>
  <c r="L309" i="4"/>
  <c r="M309" i="4" s="1"/>
  <c r="L308" i="4"/>
  <c r="M308" i="4" s="1"/>
  <c r="L307" i="4"/>
  <c r="M307" i="4" s="1"/>
  <c r="L306" i="4"/>
  <c r="M306" i="4" s="1"/>
  <c r="L305" i="4"/>
  <c r="M305" i="4" s="1"/>
  <c r="L304" i="4"/>
  <c r="M304" i="4" s="1"/>
  <c r="L303" i="4"/>
  <c r="M303" i="4" s="1"/>
  <c r="L302" i="4"/>
  <c r="M302" i="4" s="1"/>
  <c r="L301" i="4"/>
  <c r="M301" i="4" s="1"/>
  <c r="L300" i="4"/>
  <c r="M300" i="4" s="1"/>
  <c r="L299" i="4"/>
  <c r="M299" i="4" s="1"/>
  <c r="L298" i="4"/>
  <c r="M298" i="4" s="1"/>
  <c r="L297" i="4"/>
  <c r="M297" i="4" s="1"/>
  <c r="L296" i="4"/>
  <c r="M296" i="4" s="1"/>
  <c r="L295" i="4"/>
  <c r="M295" i="4" s="1"/>
  <c r="L294" i="4"/>
  <c r="M294" i="4" s="1"/>
  <c r="L293" i="4"/>
  <c r="M293" i="4" s="1"/>
  <c r="L292" i="4"/>
  <c r="M292" i="4" s="1"/>
  <c r="L291" i="4"/>
  <c r="M291" i="4" s="1"/>
  <c r="L290" i="4"/>
  <c r="M290" i="4" s="1"/>
  <c r="L289" i="4"/>
  <c r="M289" i="4" s="1"/>
  <c r="L288" i="4"/>
  <c r="M288" i="4" s="1"/>
  <c r="L287" i="4"/>
  <c r="M287" i="4" s="1"/>
  <c r="L286" i="4"/>
  <c r="M286" i="4" s="1"/>
  <c r="L285" i="4"/>
  <c r="M285" i="4" s="1"/>
  <c r="L284" i="4"/>
  <c r="M284" i="4" s="1"/>
  <c r="L283" i="4"/>
  <c r="M283" i="4" s="1"/>
  <c r="L282" i="4"/>
  <c r="M282" i="4" s="1"/>
  <c r="L281" i="4"/>
  <c r="M281" i="4" s="1"/>
  <c r="L280" i="4"/>
  <c r="M280" i="4" s="1"/>
  <c r="L279" i="4"/>
  <c r="M279" i="4" s="1"/>
  <c r="L277" i="4"/>
  <c r="M277" i="4" s="1"/>
  <c r="L274" i="4"/>
  <c r="M274" i="4" s="1"/>
  <c r="L273" i="4"/>
  <c r="M273" i="4" s="1"/>
  <c r="L272" i="4"/>
  <c r="M272" i="4" s="1"/>
  <c r="L271" i="4"/>
  <c r="M271" i="4" s="1"/>
  <c r="L270" i="4"/>
  <c r="M270" i="4" s="1"/>
  <c r="L269" i="4"/>
  <c r="M269" i="4" s="1"/>
  <c r="L268" i="4"/>
  <c r="M268" i="4" s="1"/>
  <c r="L267" i="4"/>
  <c r="M267" i="4" s="1"/>
  <c r="L266" i="4"/>
  <c r="M266" i="4" s="1"/>
  <c r="L265" i="4"/>
  <c r="M265" i="4" s="1"/>
  <c r="L264" i="4"/>
  <c r="M264" i="4" s="1"/>
  <c r="L263" i="4"/>
  <c r="M263" i="4" s="1"/>
  <c r="L262" i="4"/>
  <c r="M262" i="4" s="1"/>
  <c r="L261" i="4"/>
  <c r="M261" i="4" s="1"/>
  <c r="L260" i="4"/>
  <c r="M260" i="4" s="1"/>
  <c r="L259" i="4"/>
  <c r="M259" i="4" s="1"/>
  <c r="L258" i="4"/>
  <c r="M258" i="4" s="1"/>
  <c r="L257" i="4"/>
  <c r="M257" i="4" s="1"/>
  <c r="L256" i="4"/>
  <c r="M256" i="4" s="1"/>
  <c r="L255" i="4"/>
  <c r="M255" i="4" s="1"/>
  <c r="L254" i="4"/>
  <c r="M254" i="4" s="1"/>
  <c r="L253" i="4"/>
  <c r="M253" i="4" s="1"/>
  <c r="L252" i="4"/>
  <c r="M252" i="4" s="1"/>
  <c r="L249" i="4"/>
  <c r="M249" i="4" s="1"/>
  <c r="L248" i="4"/>
  <c r="M248" i="4" s="1"/>
  <c r="L247" i="4"/>
  <c r="M247" i="4" s="1"/>
  <c r="L246" i="4"/>
  <c r="M246" i="4" s="1"/>
  <c r="L245" i="4"/>
  <c r="M245" i="4" s="1"/>
  <c r="L244" i="4"/>
  <c r="M244" i="4" s="1"/>
  <c r="L243" i="4"/>
  <c r="M243" i="4" s="1"/>
  <c r="L242" i="4"/>
  <c r="M242" i="4" s="1"/>
  <c r="L241" i="4"/>
  <c r="M241" i="4" s="1"/>
  <c r="L240" i="4"/>
  <c r="M240" i="4" s="1"/>
  <c r="L239" i="4"/>
  <c r="M239" i="4" s="1"/>
  <c r="L238" i="4"/>
  <c r="M238" i="4" s="1"/>
  <c r="L237" i="4"/>
  <c r="M237" i="4" s="1"/>
  <c r="L236" i="4"/>
  <c r="M236" i="4" s="1"/>
  <c r="L235" i="4"/>
  <c r="M235" i="4" s="1"/>
  <c r="L234" i="4"/>
  <c r="M234" i="4" s="1"/>
  <c r="L233" i="4"/>
  <c r="M233" i="4" s="1"/>
  <c r="L232" i="4"/>
  <c r="M232" i="4" s="1"/>
  <c r="L231" i="4"/>
  <c r="M231" i="4" s="1"/>
  <c r="L230" i="4"/>
  <c r="M230" i="4" s="1"/>
  <c r="L229" i="4"/>
  <c r="M229" i="4" s="1"/>
  <c r="L228" i="4"/>
  <c r="M228" i="4" s="1"/>
  <c r="L227" i="4"/>
  <c r="M227" i="4" s="1"/>
  <c r="L226" i="4"/>
  <c r="M226" i="4" s="1"/>
  <c r="L225" i="4"/>
  <c r="M225" i="4" s="1"/>
  <c r="L224" i="4"/>
  <c r="M224" i="4" s="1"/>
  <c r="L222" i="4"/>
  <c r="M222" i="4" s="1"/>
  <c r="L221" i="4"/>
  <c r="M221" i="4" s="1"/>
  <c r="L220" i="4"/>
  <c r="M220" i="4" s="1"/>
  <c r="L219" i="4"/>
  <c r="M219" i="4" s="1"/>
  <c r="L218" i="4"/>
  <c r="M218" i="4" s="1"/>
  <c r="L217" i="4"/>
  <c r="M217" i="4" s="1"/>
  <c r="L216" i="4"/>
  <c r="M216" i="4" s="1"/>
  <c r="L215" i="4"/>
  <c r="M215" i="4" s="1"/>
  <c r="L214" i="4"/>
  <c r="M214" i="4" s="1"/>
  <c r="L213" i="4"/>
  <c r="M213" i="4" s="1"/>
  <c r="L212" i="4"/>
  <c r="M212" i="4" s="1"/>
  <c r="L211" i="4"/>
  <c r="M211" i="4" s="1"/>
  <c r="L210" i="4"/>
  <c r="M210" i="4" s="1"/>
  <c r="L209" i="4"/>
  <c r="M209" i="4" s="1"/>
  <c r="L184" i="4"/>
  <c r="M184" i="4" s="1"/>
  <c r="L183" i="4"/>
  <c r="M183" i="4" s="1"/>
  <c r="L182" i="4"/>
  <c r="M182" i="4" s="1"/>
  <c r="L181" i="4"/>
  <c r="M181" i="4" s="1"/>
  <c r="L180" i="4"/>
  <c r="M180" i="4" s="1"/>
  <c r="L179" i="4"/>
  <c r="M179" i="4" s="1"/>
  <c r="L178" i="4"/>
  <c r="M178" i="4" s="1"/>
  <c r="L177" i="4"/>
  <c r="M177" i="4" s="1"/>
  <c r="L176" i="4"/>
  <c r="M176" i="4" s="1"/>
  <c r="L175" i="4"/>
  <c r="M175" i="4" s="1"/>
  <c r="L174" i="4"/>
  <c r="M174" i="4" s="1"/>
  <c r="L173" i="4"/>
  <c r="M173" i="4" s="1"/>
  <c r="L172" i="4"/>
  <c r="M172" i="4" s="1"/>
  <c r="L171" i="4"/>
  <c r="M171" i="4" s="1"/>
  <c r="L170" i="4"/>
  <c r="M170" i="4" s="1"/>
  <c r="L169" i="4"/>
  <c r="M169" i="4" s="1"/>
  <c r="L168" i="4"/>
  <c r="M168" i="4" s="1"/>
  <c r="L167" i="4"/>
  <c r="M167" i="4" s="1"/>
  <c r="L166" i="4"/>
  <c r="M166" i="4" s="1"/>
  <c r="L165" i="4"/>
  <c r="M165" i="4" s="1"/>
  <c r="L164" i="4"/>
  <c r="M164" i="4" s="1"/>
  <c r="L163" i="4"/>
  <c r="M163" i="4" s="1"/>
  <c r="L162" i="4"/>
  <c r="M162" i="4" s="1"/>
  <c r="L161" i="4"/>
  <c r="M161" i="4" s="1"/>
  <c r="L160" i="4"/>
  <c r="M160" i="4" s="1"/>
  <c r="L159" i="4"/>
  <c r="M159" i="4" s="1"/>
  <c r="L158" i="4"/>
  <c r="M158" i="4" s="1"/>
  <c r="L157" i="4"/>
  <c r="M157" i="4" s="1"/>
  <c r="L156" i="4"/>
  <c r="M156" i="4" s="1"/>
  <c r="L155" i="4"/>
  <c r="M155" i="4" s="1"/>
  <c r="L154" i="4"/>
  <c r="M154" i="4" s="1"/>
  <c r="L153" i="4"/>
  <c r="M153" i="4" s="1"/>
  <c r="L152" i="4"/>
  <c r="M152" i="4" s="1"/>
  <c r="L151" i="4"/>
  <c r="M151" i="4" s="1"/>
  <c r="L150" i="4"/>
  <c r="M150" i="4" s="1"/>
  <c r="L149" i="4"/>
  <c r="M149" i="4" s="1"/>
  <c r="L148" i="4"/>
  <c r="M148" i="4" s="1"/>
  <c r="L147" i="4"/>
  <c r="M147" i="4" s="1"/>
  <c r="L146" i="4"/>
  <c r="M146" i="4" s="1"/>
  <c r="L145" i="4"/>
  <c r="M145" i="4" s="1"/>
  <c r="L144" i="4"/>
  <c r="M144" i="4" s="1"/>
  <c r="L143" i="4"/>
  <c r="M143" i="4" s="1"/>
  <c r="L142" i="4"/>
  <c r="M142" i="4" s="1"/>
  <c r="L141" i="4"/>
  <c r="M141" i="4" s="1"/>
  <c r="L140" i="4"/>
  <c r="M140" i="4" s="1"/>
  <c r="L139" i="4"/>
  <c r="M139" i="4" s="1"/>
  <c r="L138" i="4"/>
  <c r="M138" i="4" s="1"/>
  <c r="L137" i="4"/>
  <c r="M137" i="4" s="1"/>
  <c r="L136" i="4"/>
  <c r="M136" i="4" s="1"/>
  <c r="L135" i="4"/>
  <c r="M135" i="4" s="1"/>
  <c r="L134" i="4"/>
  <c r="M134" i="4" s="1"/>
  <c r="L133" i="4"/>
  <c r="M133" i="4" s="1"/>
  <c r="L132" i="4"/>
  <c r="M132" i="4" s="1"/>
  <c r="L131" i="4"/>
  <c r="M131" i="4" s="1"/>
  <c r="L130" i="4"/>
  <c r="M130" i="4" s="1"/>
  <c r="L129" i="4"/>
  <c r="M129" i="4" s="1"/>
  <c r="L128" i="4"/>
  <c r="M128" i="4" s="1"/>
  <c r="L127" i="4"/>
  <c r="M127" i="4" s="1"/>
  <c r="L126" i="4"/>
  <c r="M126" i="4" s="1"/>
  <c r="L125" i="4"/>
  <c r="M125" i="4" s="1"/>
  <c r="L124" i="4"/>
  <c r="M124" i="4" s="1"/>
  <c r="L123" i="4"/>
  <c r="M123" i="4" s="1"/>
  <c r="L122" i="4"/>
  <c r="M122" i="4" s="1"/>
  <c r="L121" i="4"/>
  <c r="M121" i="4" s="1"/>
  <c r="L120" i="4"/>
  <c r="M120" i="4" s="1"/>
  <c r="L119" i="4"/>
  <c r="M119" i="4" s="1"/>
  <c r="L118" i="4"/>
  <c r="M118" i="4" s="1"/>
  <c r="L117" i="4"/>
  <c r="M117" i="4" s="1"/>
  <c r="L116" i="4"/>
  <c r="M116" i="4" s="1"/>
  <c r="L115" i="4"/>
  <c r="M115" i="4" s="1"/>
  <c r="L114" i="4"/>
  <c r="M114" i="4" s="1"/>
  <c r="L113" i="4"/>
  <c r="M113" i="4" s="1"/>
  <c r="L112" i="4"/>
  <c r="M112" i="4" s="1"/>
  <c r="L111" i="4"/>
  <c r="M111" i="4" s="1"/>
  <c r="L110" i="4"/>
  <c r="M110" i="4" s="1"/>
  <c r="L109" i="4"/>
  <c r="M109" i="4" s="1"/>
  <c r="L108" i="4"/>
  <c r="M108" i="4" s="1"/>
  <c r="L107" i="4"/>
  <c r="M107" i="4" s="1"/>
  <c r="L106" i="4"/>
  <c r="M106" i="4" s="1"/>
  <c r="L105" i="4"/>
  <c r="M105" i="4" s="1"/>
  <c r="L104" i="4"/>
  <c r="M104" i="4" s="1"/>
  <c r="L103" i="4"/>
  <c r="M103" i="4" s="1"/>
  <c r="L102" i="4"/>
  <c r="M102" i="4" s="1"/>
  <c r="L101" i="4"/>
  <c r="M101" i="4" s="1"/>
  <c r="L100" i="4"/>
  <c r="M100" i="4" s="1"/>
  <c r="L99" i="4"/>
  <c r="M99" i="4" s="1"/>
  <c r="L98" i="4"/>
  <c r="M98" i="4" s="1"/>
  <c r="L97" i="4"/>
  <c r="M97" i="4" s="1"/>
  <c r="L96" i="4"/>
  <c r="M96" i="4" s="1"/>
  <c r="L95" i="4"/>
  <c r="M95" i="4" s="1"/>
  <c r="L94" i="4"/>
  <c r="M94" i="4" s="1"/>
  <c r="L93" i="4"/>
  <c r="M93" i="4" s="1"/>
  <c r="L92" i="4"/>
  <c r="M92" i="4" s="1"/>
  <c r="L91" i="4"/>
  <c r="M91" i="4" s="1"/>
  <c r="L90" i="4"/>
  <c r="M90" i="4" s="1"/>
  <c r="L89" i="4"/>
  <c r="M89" i="4" s="1"/>
  <c r="L88" i="4"/>
  <c r="M88" i="4" s="1"/>
  <c r="L87" i="4"/>
  <c r="M87" i="4" s="1"/>
  <c r="L86" i="4"/>
  <c r="M86" i="4" s="1"/>
  <c r="L85" i="4"/>
  <c r="M85" i="4" s="1"/>
  <c r="L84" i="4"/>
  <c r="M84" i="4" s="1"/>
  <c r="L83" i="4"/>
  <c r="M83" i="4" s="1"/>
  <c r="L82" i="4"/>
  <c r="M82" i="4" s="1"/>
  <c r="L81" i="4"/>
  <c r="M81" i="4" s="1"/>
  <c r="L80" i="4"/>
  <c r="M80" i="4" s="1"/>
  <c r="L79" i="4"/>
  <c r="M79" i="4" s="1"/>
  <c r="L78" i="4"/>
  <c r="M78" i="4" s="1"/>
  <c r="L77" i="4"/>
  <c r="M77" i="4" s="1"/>
  <c r="L76" i="4"/>
  <c r="M76" i="4" s="1"/>
  <c r="L75" i="4"/>
  <c r="M75" i="4" s="1"/>
  <c r="L74" i="4"/>
  <c r="M74" i="4" s="1"/>
  <c r="L73" i="4"/>
  <c r="M73" i="4" s="1"/>
  <c r="L72" i="4"/>
  <c r="M72" i="4" s="1"/>
  <c r="L71" i="4"/>
  <c r="M71" i="4" s="1"/>
  <c r="L70" i="4"/>
  <c r="M70" i="4" s="1"/>
  <c r="L69" i="4"/>
  <c r="M69" i="4" s="1"/>
  <c r="L68" i="4"/>
  <c r="M68" i="4" s="1"/>
  <c r="L67" i="4"/>
  <c r="M67" i="4" s="1"/>
  <c r="L66" i="4"/>
  <c r="M66" i="4" s="1"/>
  <c r="L65" i="4"/>
  <c r="M65" i="4" s="1"/>
  <c r="L64" i="4"/>
  <c r="M64" i="4" s="1"/>
  <c r="L63" i="4"/>
  <c r="M63" i="4" s="1"/>
  <c r="L62" i="4"/>
  <c r="M62" i="4" s="1"/>
  <c r="L61" i="4"/>
  <c r="M61" i="4" s="1"/>
  <c r="L60" i="4"/>
  <c r="M60" i="4" s="1"/>
  <c r="L59" i="4"/>
  <c r="M59" i="4" s="1"/>
  <c r="L58" i="4"/>
  <c r="M58" i="4" s="1"/>
  <c r="L57" i="4"/>
  <c r="M57" i="4" s="1"/>
  <c r="L56" i="4"/>
  <c r="M56" i="4" s="1"/>
  <c r="L55" i="4"/>
  <c r="M55" i="4" s="1"/>
  <c r="L54" i="4"/>
  <c r="M54" i="4" s="1"/>
  <c r="L53" i="4"/>
  <c r="M53" i="4" s="1"/>
  <c r="L52" i="4"/>
  <c r="M52" i="4" s="1"/>
  <c r="L51" i="4"/>
  <c r="M51" i="4" s="1"/>
  <c r="L50" i="4"/>
  <c r="M50" i="4" s="1"/>
  <c r="L49" i="4"/>
  <c r="M49" i="4" s="1"/>
  <c r="L48" i="4"/>
  <c r="M48" i="4" s="1"/>
  <c r="L47" i="4"/>
  <c r="M47" i="4" s="1"/>
  <c r="L46" i="4"/>
  <c r="M46" i="4" s="1"/>
  <c r="L45" i="4"/>
  <c r="M45" i="4" s="1"/>
  <c r="L44" i="4"/>
  <c r="M44" i="4" s="1"/>
  <c r="L43" i="4"/>
  <c r="M43" i="4" s="1"/>
  <c r="L42" i="4"/>
  <c r="M42" i="4" s="1"/>
  <c r="L41" i="4"/>
  <c r="M41" i="4" s="1"/>
  <c r="L40" i="4"/>
  <c r="M40" i="4" s="1"/>
  <c r="L39" i="4"/>
  <c r="M39" i="4" s="1"/>
  <c r="L38" i="4"/>
  <c r="M38" i="4" s="1"/>
  <c r="L37" i="4"/>
  <c r="M37" i="4" s="1"/>
  <c r="L36" i="4"/>
  <c r="M36" i="4" s="1"/>
  <c r="L35" i="4"/>
  <c r="M35" i="4" s="1"/>
  <c r="L34" i="4"/>
  <c r="M34" i="4" s="1"/>
  <c r="L33" i="4"/>
  <c r="M33" i="4" s="1"/>
  <c r="L32" i="4"/>
  <c r="M32" i="4" s="1"/>
  <c r="L31" i="4"/>
  <c r="M31" i="4" s="1"/>
  <c r="L30" i="4"/>
  <c r="M30" i="4" s="1"/>
  <c r="L29" i="4"/>
  <c r="M29" i="4" s="1"/>
  <c r="L28" i="4"/>
  <c r="M28" i="4" s="1"/>
  <c r="L27" i="4"/>
  <c r="M27" i="4" s="1"/>
  <c r="L26" i="4"/>
  <c r="M26" i="4" s="1"/>
  <c r="L25" i="4"/>
  <c r="M25" i="4" s="1"/>
  <c r="L24" i="4"/>
  <c r="M24" i="4" s="1"/>
  <c r="L23" i="4"/>
  <c r="M23" i="4" s="1"/>
  <c r="L22" i="4"/>
  <c r="M22" i="4" s="1"/>
  <c r="L21" i="4"/>
  <c r="M21" i="4" s="1"/>
  <c r="L20" i="4"/>
  <c r="M20" i="4" s="1"/>
  <c r="L19" i="4"/>
  <c r="M19" i="4" s="1"/>
  <c r="L18" i="4"/>
  <c r="M18" i="4" s="1"/>
  <c r="L17" i="4"/>
  <c r="M17" i="4" s="1"/>
  <c r="L16" i="4"/>
  <c r="M16" i="4" s="1"/>
  <c r="L15" i="4"/>
  <c r="M15" i="4" s="1"/>
  <c r="L14" i="4"/>
  <c r="M14" i="4" s="1"/>
  <c r="L13" i="4"/>
  <c r="M13" i="4" s="1"/>
  <c r="L12" i="4"/>
  <c r="M12" i="4" s="1"/>
  <c r="L11" i="4"/>
  <c r="M11" i="4" s="1"/>
  <c r="L10" i="4"/>
  <c r="M10" i="4" s="1"/>
  <c r="L9" i="4"/>
  <c r="M9" i="4" s="1"/>
  <c r="L8" i="4"/>
  <c r="M8" i="4" s="1"/>
  <c r="L7" i="4"/>
  <c r="M7" i="4" s="1"/>
  <c r="L534" i="1"/>
  <c r="M534" i="1" s="1"/>
  <c r="L533" i="1"/>
  <c r="M533" i="1" s="1"/>
  <c r="L532" i="1"/>
  <c r="M532" i="1" s="1"/>
  <c r="L531" i="1"/>
  <c r="M531" i="1" s="1"/>
  <c r="L530" i="1"/>
  <c r="M530" i="1" s="1"/>
  <c r="L529" i="1"/>
  <c r="M529" i="1" s="1"/>
  <c r="L521" i="1"/>
  <c r="M521" i="1" s="1"/>
  <c r="L520" i="1"/>
  <c r="M520" i="1" s="1"/>
  <c r="L519" i="1"/>
  <c r="M519" i="1" s="1"/>
  <c r="L518" i="1"/>
  <c r="M518" i="1" s="1"/>
  <c r="L517" i="1"/>
  <c r="M517" i="1" s="1"/>
  <c r="L516" i="1"/>
  <c r="M516" i="1" s="1"/>
  <c r="L515" i="1"/>
  <c r="M515" i="1" s="1"/>
  <c r="L514" i="1"/>
  <c r="M514" i="1" s="1"/>
  <c r="L477" i="1"/>
  <c r="M477" i="1" s="1"/>
  <c r="L485" i="1"/>
  <c r="M485" i="1" s="1"/>
  <c r="L479" i="1"/>
  <c r="M479" i="1" s="1"/>
  <c r="L513" i="1"/>
  <c r="M513" i="1" s="1"/>
  <c r="L512" i="1"/>
  <c r="M512" i="1" s="1"/>
  <c r="L511" i="1"/>
  <c r="M511" i="1" s="1"/>
  <c r="L510" i="1"/>
  <c r="M510" i="1" s="1"/>
  <c r="L509" i="1"/>
  <c r="M509" i="1" s="1"/>
  <c r="L508" i="1"/>
  <c r="M508" i="1" s="1"/>
  <c r="L507" i="1"/>
  <c r="M507" i="1" s="1"/>
  <c r="L506" i="1"/>
  <c r="M506" i="1" s="1"/>
  <c r="L505" i="1"/>
  <c r="M505" i="1" s="1"/>
  <c r="L504" i="1"/>
  <c r="M504" i="1" s="1"/>
  <c r="L503" i="1"/>
  <c r="M503" i="1" s="1"/>
  <c r="L502" i="1"/>
  <c r="M502" i="1" s="1"/>
  <c r="L501" i="1"/>
  <c r="M501" i="1" s="1"/>
  <c r="L500" i="1"/>
  <c r="M500" i="1" s="1"/>
  <c r="L499" i="1"/>
  <c r="M499" i="1" s="1"/>
  <c r="L498" i="1"/>
  <c r="M498" i="1" s="1"/>
  <c r="L497" i="1"/>
  <c r="M497" i="1" s="1"/>
  <c r="L496" i="1"/>
  <c r="M496" i="1" s="1"/>
  <c r="L495" i="1"/>
  <c r="M495" i="1" s="1"/>
  <c r="L494" i="1"/>
  <c r="M494" i="1" s="1"/>
  <c r="L493" i="1"/>
  <c r="M493" i="1" s="1"/>
  <c r="L492" i="1"/>
  <c r="M492" i="1" s="1"/>
  <c r="L491" i="1"/>
  <c r="M491" i="1" s="1"/>
  <c r="L490" i="1"/>
  <c r="M490" i="1" s="1"/>
  <c r="L489" i="1"/>
  <c r="M489" i="1" s="1"/>
  <c r="L488" i="1"/>
  <c r="M488" i="1" s="1"/>
  <c r="L487" i="1"/>
  <c r="M487" i="1" s="1"/>
  <c r="L486" i="1"/>
  <c r="M486" i="1" s="1"/>
  <c r="L484" i="1"/>
  <c r="M484" i="1" s="1"/>
  <c r="L483" i="1"/>
  <c r="M483" i="1" s="1"/>
  <c r="L482" i="1"/>
  <c r="M482" i="1" s="1"/>
  <c r="L481" i="1"/>
  <c r="M481" i="1" s="1"/>
  <c r="L480" i="1"/>
  <c r="M480" i="1" s="1"/>
  <c r="L478" i="1"/>
  <c r="M478" i="1" s="1"/>
  <c r="L476" i="1"/>
  <c r="M476" i="1" s="1"/>
  <c r="L471" i="1"/>
  <c r="M471" i="1" s="1"/>
  <c r="L470" i="1"/>
  <c r="M470" i="1" s="1"/>
  <c r="L469" i="1"/>
  <c r="M469" i="1" s="1"/>
  <c r="L468" i="1"/>
  <c r="M468" i="1" s="1"/>
  <c r="L681" i="1"/>
  <c r="M681" i="1" s="1"/>
  <c r="L680" i="1"/>
  <c r="M680" i="1" s="1"/>
  <c r="L679" i="1"/>
  <c r="M679" i="1" s="1"/>
  <c r="L678" i="1"/>
  <c r="M678" i="1" s="1"/>
  <c r="L677" i="1"/>
  <c r="M677" i="1" s="1"/>
  <c r="L676" i="1"/>
  <c r="M676" i="1" s="1"/>
  <c r="L675" i="1"/>
  <c r="M675" i="1" s="1"/>
  <c r="L674" i="1"/>
  <c r="M674" i="1" s="1"/>
  <c r="L673" i="1"/>
  <c r="M673" i="1" s="1"/>
  <c r="L672" i="1"/>
  <c r="M672" i="1" s="1"/>
  <c r="L671" i="1"/>
  <c r="M671" i="1" s="1"/>
  <c r="L670" i="1"/>
  <c r="M670" i="1" s="1"/>
  <c r="L669" i="1"/>
  <c r="M669" i="1" s="1"/>
  <c r="L653" i="1"/>
  <c r="M653" i="1" s="1"/>
  <c r="L646" i="1"/>
  <c r="M646" i="1" s="1"/>
  <c r="L645" i="1"/>
  <c r="M645" i="1" s="1"/>
  <c r="L644" i="1"/>
  <c r="M644" i="1" s="1"/>
  <c r="L643" i="1"/>
  <c r="M643" i="1" s="1"/>
  <c r="L642" i="1"/>
  <c r="M642" i="1" s="1"/>
  <c r="L641" i="1"/>
  <c r="M641" i="1" s="1"/>
  <c r="L640" i="1"/>
  <c r="M640" i="1" s="1"/>
  <c r="L639" i="1"/>
  <c r="M639" i="1" s="1"/>
  <c r="L638" i="1"/>
  <c r="M638" i="1" s="1"/>
  <c r="L796" i="1"/>
  <c r="M796" i="1" s="1"/>
  <c r="L795" i="1"/>
  <c r="M795" i="1" s="1"/>
  <c r="L793" i="1"/>
  <c r="M793" i="1" s="1"/>
  <c r="L792" i="1"/>
  <c r="M792" i="1" s="1"/>
  <c r="L791" i="1"/>
  <c r="M791" i="1" s="1"/>
  <c r="L790" i="1"/>
  <c r="M790" i="1" s="1"/>
  <c r="L789" i="1"/>
  <c r="M789" i="1" s="1"/>
  <c r="L788" i="1"/>
  <c r="M788" i="1" s="1"/>
  <c r="L787" i="1"/>
  <c r="M787" i="1" s="1"/>
  <c r="L786" i="1"/>
  <c r="M786" i="1" s="1"/>
  <c r="L785" i="1"/>
  <c r="M785" i="1" s="1"/>
  <c r="L784" i="1"/>
  <c r="M784" i="1" s="1"/>
  <c r="L783" i="1"/>
  <c r="M783" i="1" s="1"/>
  <c r="L782" i="1"/>
  <c r="M782" i="1" s="1"/>
  <c r="L781" i="1"/>
  <c r="M781" i="1" s="1"/>
  <c r="L780" i="1"/>
  <c r="M780" i="1" s="1"/>
  <c r="L330" i="1"/>
  <c r="M330" i="1" s="1"/>
  <c r="L329" i="1"/>
  <c r="M329" i="1" s="1"/>
  <c r="L328" i="1"/>
  <c r="M328" i="1" s="1"/>
  <c r="I49" i="2"/>
  <c r="L48" i="2"/>
  <c r="M48" i="2" s="1"/>
  <c r="I48" i="2"/>
  <c r="L47" i="2"/>
  <c r="M47" i="2" s="1"/>
  <c r="I47" i="2"/>
  <c r="L46" i="2"/>
  <c r="M46" i="2" s="1"/>
  <c r="I46" i="2"/>
  <c r="L45" i="2"/>
  <c r="M45" i="2" s="1"/>
  <c r="I45" i="2"/>
  <c r="L44" i="2"/>
  <c r="M44" i="2" s="1"/>
  <c r="I44" i="2"/>
  <c r="L43" i="2"/>
  <c r="M43" i="2" s="1"/>
  <c r="I43" i="2"/>
  <c r="L42" i="2"/>
  <c r="M42" i="2" s="1"/>
  <c r="I42" i="2"/>
  <c r="L41" i="2"/>
  <c r="M41" i="2" s="1"/>
  <c r="I41" i="2"/>
  <c r="L40" i="2"/>
  <c r="M40" i="2" s="1"/>
  <c r="I40" i="2"/>
  <c r="L39" i="2"/>
  <c r="M39" i="2" s="1"/>
  <c r="I39" i="2"/>
  <c r="L38" i="2"/>
  <c r="M38" i="2" s="1"/>
  <c r="I38" i="2"/>
  <c r="L37" i="2"/>
  <c r="M37" i="2" s="1"/>
  <c r="I37" i="2"/>
  <c r="L36" i="2"/>
  <c r="M36" i="2" s="1"/>
  <c r="I36" i="2"/>
  <c r="L35" i="2"/>
  <c r="M35" i="2" s="1"/>
  <c r="I35" i="2"/>
  <c r="L34" i="2"/>
  <c r="M34" i="2" s="1"/>
  <c r="I34" i="2"/>
  <c r="L33" i="2"/>
  <c r="M33" i="2" s="1"/>
  <c r="I33" i="2"/>
  <c r="L32" i="2"/>
  <c r="M32" i="2" s="1"/>
  <c r="I32" i="2"/>
  <c r="L31" i="2"/>
  <c r="M31" i="2" s="1"/>
  <c r="I31" i="2"/>
  <c r="L30" i="2"/>
  <c r="M30" i="2" s="1"/>
  <c r="I30" i="2"/>
  <c r="L29" i="2"/>
  <c r="M29" i="2" s="1"/>
  <c r="I29" i="2"/>
  <c r="L28" i="2"/>
  <c r="M28" i="2" s="1"/>
  <c r="I28" i="2"/>
  <c r="L27" i="2"/>
  <c r="M27" i="2" s="1"/>
  <c r="I27" i="2"/>
  <c r="L26" i="2"/>
  <c r="M26" i="2" s="1"/>
  <c r="I26" i="2"/>
  <c r="L25" i="2"/>
  <c r="M25" i="2" s="1"/>
  <c r="I25" i="2"/>
  <c r="L24" i="2"/>
  <c r="M24" i="2" s="1"/>
  <c r="I24" i="2"/>
  <c r="L23" i="2"/>
  <c r="M23" i="2" s="1"/>
  <c r="I23" i="2"/>
  <c r="L22" i="2"/>
  <c r="M22" i="2" s="1"/>
  <c r="I22" i="2"/>
  <c r="L21" i="2"/>
  <c r="M21" i="2" s="1"/>
  <c r="I21" i="2"/>
  <c r="L20" i="2"/>
  <c r="M20" i="2" s="1"/>
  <c r="I20" i="2"/>
  <c r="L19" i="2"/>
  <c r="M19" i="2" s="1"/>
  <c r="I19" i="2"/>
  <c r="L18" i="2"/>
  <c r="M18" i="2" s="1"/>
  <c r="I18" i="2"/>
  <c r="L17" i="2"/>
  <c r="M17" i="2" s="1"/>
  <c r="I17" i="2"/>
  <c r="L16" i="2"/>
  <c r="M16" i="2" s="1"/>
  <c r="I16" i="2"/>
  <c r="L15" i="2"/>
  <c r="M15" i="2" s="1"/>
  <c r="I15" i="2"/>
  <c r="L14" i="2"/>
  <c r="M14" i="2" s="1"/>
  <c r="I14" i="2"/>
  <c r="L13" i="2"/>
  <c r="M13" i="2" s="1"/>
  <c r="I13" i="2"/>
  <c r="L10" i="2"/>
  <c r="M10" i="2" s="1"/>
  <c r="I10" i="2"/>
  <c r="L9" i="2"/>
  <c r="M9" i="2" s="1"/>
  <c r="I9" i="2"/>
  <c r="L8" i="2"/>
  <c r="M8" i="2" s="1"/>
  <c r="I8" i="2"/>
  <c r="H7" i="4" l="1"/>
  <c r="G8" i="3"/>
  <c r="L779" i="1"/>
  <c r="M779" i="1" s="1"/>
  <c r="L778" i="1"/>
  <c r="M778" i="1" s="1"/>
  <c r="L777" i="1"/>
  <c r="M777" i="1" s="1"/>
  <c r="L776" i="1"/>
  <c r="M776" i="1" s="1"/>
  <c r="L775" i="1"/>
  <c r="M775" i="1" s="1"/>
  <c r="L774" i="1"/>
  <c r="M774" i="1" s="1"/>
  <c r="L773" i="1"/>
  <c r="M773" i="1" s="1"/>
  <c r="L772" i="1"/>
  <c r="M772" i="1" s="1"/>
  <c r="L771" i="1"/>
  <c r="M771" i="1" s="1"/>
  <c r="L770" i="1"/>
  <c r="M770" i="1" s="1"/>
  <c r="L769" i="1"/>
  <c r="M769" i="1" s="1"/>
  <c r="L768" i="1"/>
  <c r="M768" i="1" s="1"/>
  <c r="L767" i="1"/>
  <c r="M767" i="1" s="1"/>
  <c r="L766" i="1"/>
  <c r="M766" i="1" s="1"/>
  <c r="L765" i="1"/>
  <c r="M765" i="1" s="1"/>
  <c r="L764" i="1"/>
  <c r="M764" i="1" s="1"/>
  <c r="L763" i="1"/>
  <c r="M763" i="1" s="1"/>
  <c r="L762" i="1"/>
  <c r="M762" i="1" s="1"/>
  <c r="L761" i="1"/>
  <c r="M761" i="1" s="1"/>
  <c r="L760" i="1"/>
  <c r="M760" i="1" s="1"/>
  <c r="L759" i="1"/>
  <c r="M759" i="1" s="1"/>
  <c r="L758" i="1"/>
  <c r="M758" i="1" s="1"/>
  <c r="L757" i="1"/>
  <c r="M757" i="1" s="1"/>
  <c r="L756" i="1"/>
  <c r="M756" i="1" s="1"/>
  <c r="L595" i="1"/>
  <c r="M595" i="1" s="1"/>
  <c r="L594" i="1"/>
  <c r="M594" i="1" s="1"/>
  <c r="L593" i="1"/>
  <c r="M593" i="1" s="1"/>
  <c r="L592" i="1"/>
  <c r="M592" i="1" s="1"/>
  <c r="L591" i="1"/>
  <c r="M591" i="1" s="1"/>
  <c r="L590" i="1"/>
  <c r="M590" i="1" s="1"/>
  <c r="L589" i="1"/>
  <c r="M589" i="1" s="1"/>
  <c r="L588" i="1"/>
  <c r="M588" i="1" s="1"/>
  <c r="L32" i="1"/>
  <c r="M32" i="1" s="1"/>
  <c r="L31" i="1"/>
  <c r="M31" i="1" s="1"/>
  <c r="L30" i="1"/>
  <c r="M30" i="1" s="1"/>
  <c r="L29" i="1"/>
  <c r="M29" i="1" s="1"/>
  <c r="L28" i="1"/>
  <c r="M28" i="1" s="1"/>
  <c r="L27" i="1"/>
  <c r="M27" i="1" s="1"/>
  <c r="L26" i="1"/>
  <c r="M26" i="1" s="1"/>
  <c r="L25" i="1"/>
  <c r="M25" i="1" s="1"/>
  <c r="L24" i="1"/>
  <c r="M24" i="1" s="1"/>
  <c r="L304" i="1"/>
  <c r="M304" i="1" s="1"/>
  <c r="L303" i="1"/>
  <c r="M303" i="1" s="1"/>
  <c r="L302" i="1"/>
  <c r="M302" i="1" s="1"/>
  <c r="L301" i="1"/>
  <c r="M301" i="1" s="1"/>
  <c r="L255" i="1"/>
  <c r="M255" i="1" s="1"/>
  <c r="L254" i="1"/>
  <c r="M254" i="1" s="1"/>
  <c r="L253" i="1"/>
  <c r="M253" i="1" s="1"/>
  <c r="L252" i="1"/>
  <c r="M252" i="1" s="1"/>
  <c r="L251" i="1"/>
  <c r="M251" i="1" s="1"/>
  <c r="L250" i="1"/>
  <c r="M250" i="1" s="1"/>
  <c r="L249" i="1"/>
  <c r="M249" i="1" s="1"/>
  <c r="L248" i="1"/>
  <c r="M248" i="1" s="1"/>
  <c r="L247" i="1"/>
  <c r="M247" i="1" s="1"/>
  <c r="L246" i="1"/>
  <c r="M246" i="1" s="1"/>
  <c r="L245" i="1"/>
  <c r="M245" i="1" s="1"/>
  <c r="L244" i="1"/>
  <c r="M244" i="1" s="1"/>
  <c r="L243" i="1"/>
  <c r="M243" i="1" s="1"/>
  <c r="L242" i="1"/>
  <c r="M242" i="1" s="1"/>
  <c r="L241" i="1"/>
  <c r="M241" i="1" s="1"/>
  <c r="L240" i="1"/>
  <c r="M240" i="1" s="1"/>
  <c r="L239" i="1"/>
  <c r="M239" i="1" s="1"/>
  <c r="L238" i="1"/>
  <c r="M238" i="1" s="1"/>
  <c r="L237" i="1"/>
  <c r="M237" i="1" s="1"/>
  <c r="L236" i="1"/>
  <c r="M236" i="1" s="1"/>
  <c r="L235" i="1"/>
  <c r="M235" i="1" s="1"/>
  <c r="L234" i="1"/>
  <c r="M234" i="1" s="1"/>
  <c r="L233" i="1"/>
  <c r="M233" i="1" s="1"/>
  <c r="L232" i="1"/>
  <c r="M232" i="1" s="1"/>
  <c r="L231" i="1"/>
  <c r="M231" i="1" s="1"/>
  <c r="L230" i="1"/>
  <c r="M230" i="1" s="1"/>
  <c r="L229" i="1"/>
  <c r="M229" i="1" s="1"/>
  <c r="L300" i="1"/>
  <c r="M300" i="1" s="1"/>
  <c r="L299" i="1"/>
  <c r="M299" i="1" s="1"/>
  <c r="L298" i="1"/>
  <c r="M298" i="1" s="1"/>
  <c r="L297" i="1"/>
  <c r="M297" i="1" s="1"/>
  <c r="L296" i="1"/>
  <c r="M296" i="1" s="1"/>
  <c r="L295" i="1"/>
  <c r="M295" i="1" s="1"/>
  <c r="L294" i="1"/>
  <c r="M294" i="1" s="1"/>
  <c r="L293" i="1"/>
  <c r="M293" i="1" s="1"/>
  <c r="L291" i="1"/>
  <c r="M291" i="1" s="1"/>
  <c r="L755" i="1"/>
  <c r="M755" i="1" s="1"/>
  <c r="L754" i="1"/>
  <c r="M754" i="1" s="1"/>
  <c r="L753" i="1"/>
  <c r="M753" i="1" s="1"/>
  <c r="L752" i="1"/>
  <c r="M752" i="1" s="1"/>
  <c r="L751" i="1"/>
  <c r="M751" i="1" s="1"/>
  <c r="L750" i="1"/>
  <c r="M750" i="1" s="1"/>
  <c r="L749" i="1"/>
  <c r="M749" i="1" s="1"/>
  <c r="L748" i="1"/>
  <c r="M748" i="1" s="1"/>
  <c r="L747" i="1"/>
  <c r="M747" i="1" s="1"/>
  <c r="L746" i="1"/>
  <c r="M746" i="1" s="1"/>
  <c r="L325" i="1"/>
  <c r="M325" i="1" s="1"/>
  <c r="L324" i="1"/>
  <c r="M324" i="1" s="1"/>
  <c r="L323" i="1"/>
  <c r="M323" i="1" s="1"/>
  <c r="L318" i="1"/>
  <c r="M318" i="1" s="1"/>
  <c r="L292" i="1"/>
  <c r="M292" i="1" s="1"/>
  <c r="L290" i="1"/>
  <c r="M290" i="1" s="1"/>
  <c r="L289" i="1"/>
  <c r="M289" i="1" s="1"/>
  <c r="L288" i="1"/>
  <c r="M288" i="1" s="1"/>
  <c r="L287" i="1"/>
  <c r="M287" i="1" s="1"/>
  <c r="L286" i="1"/>
  <c r="M286" i="1" s="1"/>
  <c r="L285" i="1"/>
  <c r="M285" i="1" s="1"/>
  <c r="L284" i="1"/>
  <c r="M284" i="1" s="1"/>
  <c r="L283" i="1"/>
  <c r="M283" i="1" s="1"/>
  <c r="L745" i="1"/>
  <c r="M745" i="1" s="1"/>
  <c r="L722" i="1"/>
  <c r="M722" i="1" s="1"/>
  <c r="L721" i="1"/>
  <c r="M721" i="1" s="1"/>
  <c r="L720" i="1"/>
  <c r="M720" i="1" s="1"/>
  <c r="L719" i="1"/>
  <c r="M719" i="1" s="1"/>
  <c r="L718" i="1"/>
  <c r="M718" i="1" s="1"/>
  <c r="L717" i="1"/>
  <c r="M717" i="1" s="1"/>
  <c r="L716" i="1"/>
  <c r="M716" i="1" s="1"/>
  <c r="L715" i="1"/>
  <c r="M715" i="1" s="1"/>
  <c r="L714" i="1"/>
  <c r="M714" i="1" s="1"/>
  <c r="L713" i="1"/>
  <c r="M713" i="1" s="1"/>
  <c r="L711" i="1"/>
  <c r="M711" i="1" s="1"/>
  <c r="L710" i="1"/>
  <c r="M710" i="1" s="1"/>
  <c r="L709" i="1"/>
  <c r="M709" i="1" s="1"/>
  <c r="L701" i="1"/>
  <c r="M701" i="1" s="1"/>
  <c r="L466" i="1"/>
  <c r="M466" i="1" s="1"/>
  <c r="L465" i="1"/>
  <c r="M465" i="1" s="1"/>
  <c r="L464" i="1"/>
  <c r="M464" i="1" s="1"/>
  <c r="L463" i="1"/>
  <c r="M463" i="1" s="1"/>
  <c r="L462" i="1"/>
  <c r="M462" i="1" s="1"/>
  <c r="L461" i="1"/>
  <c r="M461" i="1" s="1"/>
  <c r="L451" i="1"/>
  <c r="M451" i="1" s="1"/>
  <c r="L450" i="1"/>
  <c r="M450" i="1" s="1"/>
  <c r="L449" i="1"/>
  <c r="M449" i="1" s="1"/>
  <c r="L448" i="1"/>
  <c r="M448" i="1" s="1"/>
  <c r="L447" i="1"/>
  <c r="M447" i="1" s="1"/>
  <c r="L446" i="1"/>
  <c r="M446" i="1" s="1"/>
  <c r="L445" i="1"/>
  <c r="M445" i="1" s="1"/>
  <c r="L444" i="1"/>
  <c r="M444" i="1" s="1"/>
  <c r="L443" i="1"/>
  <c r="M443" i="1" s="1"/>
  <c r="L442" i="1"/>
  <c r="M442" i="1" s="1"/>
  <c r="L441" i="1"/>
  <c r="M441" i="1" s="1"/>
  <c r="L440" i="1"/>
  <c r="M440" i="1" s="1"/>
  <c r="L622" i="1"/>
  <c r="M622" i="1" s="1"/>
  <c r="L621" i="1"/>
  <c r="M621" i="1" s="1"/>
  <c r="L620" i="1"/>
  <c r="M620" i="1" s="1"/>
  <c r="L228" i="1"/>
  <c r="M228" i="1" s="1"/>
  <c r="L227" i="1"/>
  <c r="M227" i="1" s="1"/>
  <c r="L226" i="1"/>
  <c r="M226" i="1" s="1"/>
  <c r="L225" i="1"/>
  <c r="M225" i="1" s="1"/>
  <c r="L224" i="1"/>
  <c r="M224" i="1" s="1"/>
  <c r="L223" i="1"/>
  <c r="M223" i="1" s="1"/>
  <c r="L222" i="1"/>
  <c r="M222" i="1" s="1"/>
  <c r="L221" i="1"/>
  <c r="M221" i="1" s="1"/>
  <c r="L220" i="1"/>
  <c r="M220" i="1" s="1"/>
  <c r="L219" i="1"/>
  <c r="M219" i="1" s="1"/>
  <c r="L218" i="1"/>
  <c r="M218" i="1" s="1"/>
  <c r="L217" i="1"/>
  <c r="M217" i="1" s="1"/>
  <c r="L624" i="1"/>
  <c r="M624" i="1" s="1"/>
  <c r="L623" i="1"/>
  <c r="M623" i="1" s="1"/>
  <c r="L467" i="1"/>
  <c r="M467" i="1" s="1"/>
  <c r="L635" i="1"/>
  <c r="M635" i="1" s="1"/>
  <c r="L634" i="1"/>
  <c r="M634" i="1" s="1"/>
  <c r="L633" i="1"/>
  <c r="M633" i="1" s="1"/>
  <c r="L632" i="1"/>
  <c r="M632" i="1" s="1"/>
  <c r="L631" i="1"/>
  <c r="M631" i="1" s="1"/>
  <c r="L630" i="1"/>
  <c r="M630" i="1" s="1"/>
  <c r="L629" i="1"/>
  <c r="M629" i="1" s="1"/>
  <c r="L628" i="1"/>
  <c r="M628" i="1" s="1"/>
  <c r="L627" i="1"/>
  <c r="M627" i="1" s="1"/>
  <c r="L626" i="1"/>
  <c r="M626" i="1" s="1"/>
  <c r="L625" i="1"/>
  <c r="M625" i="1" s="1"/>
  <c r="L619" i="1"/>
  <c r="M619" i="1" s="1"/>
  <c r="L618" i="1"/>
  <c r="M618" i="1" s="1"/>
  <c r="L617" i="1"/>
  <c r="M617" i="1" s="1"/>
  <c r="L616" i="1"/>
  <c r="M616" i="1" s="1"/>
  <c r="L437" i="1"/>
  <c r="M437" i="1" s="1"/>
  <c r="L536" i="1"/>
  <c r="M536" i="1" s="1"/>
  <c r="L561" i="1"/>
  <c r="M561" i="1" s="1"/>
  <c r="L369" i="1" l="1"/>
  <c r="M369" i="1" s="1"/>
  <c r="L368" i="1"/>
  <c r="M368" i="1" s="1"/>
  <c r="L367" i="1"/>
  <c r="M367" i="1" s="1"/>
  <c r="L366" i="1"/>
  <c r="M366" i="1" s="1"/>
  <c r="L365" i="1"/>
  <c r="M365" i="1" s="1"/>
  <c r="L364" i="1"/>
  <c r="M364" i="1" s="1"/>
  <c r="L363" i="1"/>
  <c r="M363" i="1" s="1"/>
  <c r="L576" i="1"/>
  <c r="M576" i="1" s="1"/>
  <c r="L573" i="1"/>
  <c r="M573" i="1" s="1"/>
  <c r="L572" i="1"/>
  <c r="M572" i="1" s="1"/>
  <c r="L362" i="1"/>
  <c r="M362" i="1" s="1"/>
  <c r="L361" i="1"/>
  <c r="M361" i="1" s="1"/>
  <c r="L360" i="1"/>
  <c r="M360" i="1" s="1"/>
  <c r="L345" i="1"/>
  <c r="M345" i="1" s="1"/>
  <c r="L344" i="1"/>
  <c r="M344" i="1" s="1"/>
  <c r="L343" i="1"/>
  <c r="M343" i="1" s="1"/>
  <c r="L342" i="1"/>
  <c r="M342" i="1" s="1"/>
  <c r="L341" i="1"/>
  <c r="M341" i="1" s="1"/>
  <c r="L359" i="1"/>
  <c r="M359" i="1" s="1"/>
  <c r="L358" i="1"/>
  <c r="M358" i="1" s="1"/>
  <c r="L357" i="1"/>
  <c r="M357" i="1" s="1"/>
  <c r="L356" i="1"/>
  <c r="M356" i="1" s="1"/>
  <c r="L355" i="1"/>
  <c r="M355" i="1" s="1"/>
  <c r="L354" i="1"/>
  <c r="M354" i="1" s="1"/>
  <c r="L353" i="1"/>
  <c r="M353" i="1" s="1"/>
  <c r="L352" i="1"/>
  <c r="M352" i="1" s="1"/>
  <c r="L351" i="1"/>
  <c r="M351" i="1" s="1"/>
  <c r="L350" i="1"/>
  <c r="M350" i="1" s="1"/>
  <c r="L349" i="1"/>
  <c r="M349" i="1" s="1"/>
  <c r="L348" i="1"/>
  <c r="M348" i="1" s="1"/>
  <c r="L347" i="1"/>
  <c r="M347" i="1" s="1"/>
  <c r="L346" i="1"/>
  <c r="M346" i="1" s="1"/>
  <c r="L565" i="1"/>
  <c r="M565" i="1" s="1"/>
  <c r="L564" i="1"/>
  <c r="M564" i="1" s="1"/>
  <c r="L339" i="1"/>
  <c r="M339" i="1" s="1"/>
  <c r="L338" i="1"/>
  <c r="M338" i="1" s="1"/>
  <c r="L337" i="1"/>
  <c r="M337" i="1" s="1"/>
  <c r="L282" i="1"/>
  <c r="M282" i="1" s="1"/>
  <c r="L281" i="1"/>
  <c r="M281" i="1" s="1"/>
  <c r="L280" i="1"/>
  <c r="M280" i="1" s="1"/>
  <c r="L279" i="1"/>
  <c r="M279" i="1" s="1"/>
  <c r="L278" i="1"/>
  <c r="M278" i="1" s="1"/>
  <c r="L277" i="1"/>
  <c r="M277" i="1" s="1"/>
  <c r="L276" i="1"/>
  <c r="M276" i="1" s="1"/>
  <c r="L275" i="1"/>
  <c r="M275" i="1" s="1"/>
  <c r="L274" i="1"/>
  <c r="M274" i="1" s="1"/>
  <c r="L273" i="1"/>
  <c r="M273" i="1" s="1"/>
  <c r="L272" i="1"/>
  <c r="M272" i="1" s="1"/>
  <c r="L271" i="1"/>
  <c r="M271" i="1" s="1"/>
  <c r="L270" i="1"/>
  <c r="M270" i="1" s="1"/>
  <c r="L269" i="1"/>
  <c r="M269" i="1" s="1"/>
  <c r="L268" i="1"/>
  <c r="M268" i="1" s="1"/>
  <c r="L267" i="1"/>
  <c r="M267" i="1" s="1"/>
  <c r="L266" i="1"/>
  <c r="M266" i="1" s="1"/>
  <c r="L265" i="1"/>
  <c r="M265" i="1" s="1"/>
  <c r="L264" i="1"/>
  <c r="M264" i="1" s="1"/>
  <c r="L394" i="1"/>
  <c r="M394" i="1" s="1"/>
  <c r="L393" i="1"/>
  <c r="M393" i="1" s="1"/>
  <c r="L392" i="1"/>
  <c r="M392" i="1" s="1"/>
  <c r="L391" i="1"/>
  <c r="M391" i="1" s="1"/>
  <c r="L389" i="1"/>
  <c r="M389" i="1" s="1"/>
  <c r="L388" i="1"/>
  <c r="M388" i="1" s="1"/>
  <c r="L385" i="1"/>
  <c r="M385" i="1" s="1"/>
  <c r="L384" i="1"/>
  <c r="M384" i="1" s="1"/>
  <c r="L383" i="1"/>
  <c r="M383" i="1" s="1"/>
  <c r="L382" i="1"/>
  <c r="M382" i="1" s="1"/>
  <c r="L381" i="1"/>
  <c r="M381" i="1" s="1"/>
  <c r="L262" i="1"/>
  <c r="M262" i="1" s="1"/>
  <c r="L261" i="1"/>
  <c r="M261" i="1" s="1"/>
  <c r="L260" i="1"/>
  <c r="M260" i="1" s="1"/>
  <c r="L259" i="1"/>
  <c r="M259" i="1" s="1"/>
  <c r="L258" i="1"/>
  <c r="M258" i="1" s="1"/>
  <c r="L263" i="1"/>
  <c r="M263" i="1" s="1"/>
  <c r="L210" i="1"/>
  <c r="M210" i="1" s="1"/>
  <c r="L39" i="1" l="1"/>
  <c r="M39" i="1" s="1"/>
  <c r="I7" i="1"/>
  <c r="L38" i="1"/>
  <c r="M38" i="1" s="1"/>
  <c r="L708" i="1" l="1"/>
  <c r="M708" i="1" s="1"/>
  <c r="L706" i="1"/>
  <c r="M706" i="1" s="1"/>
  <c r="L705" i="1"/>
  <c r="M705" i="1" s="1"/>
  <c r="L704" i="1"/>
  <c r="M704" i="1" s="1"/>
  <c r="L703" i="1"/>
  <c r="M703" i="1" s="1"/>
  <c r="L702" i="1"/>
  <c r="M702" i="1" s="1"/>
  <c r="L707" i="1"/>
  <c r="M707" i="1" s="1"/>
  <c r="L700" i="1"/>
  <c r="M700" i="1" s="1"/>
  <c r="L698" i="1"/>
  <c r="M698" i="1" s="1"/>
  <c r="L688" i="1"/>
  <c r="M688" i="1" s="1"/>
  <c r="L687" i="1"/>
  <c r="M687" i="1" s="1"/>
  <c r="L686" i="1"/>
  <c r="M686" i="1" s="1"/>
  <c r="L685" i="1"/>
  <c r="M685" i="1" s="1"/>
  <c r="L684" i="1"/>
  <c r="M684" i="1" s="1"/>
  <c r="L683" i="1"/>
  <c r="M683" i="1" s="1"/>
  <c r="L682" i="1"/>
  <c r="M682" i="1" s="1"/>
  <c r="L637" i="1"/>
  <c r="M637" i="1" s="1"/>
  <c r="L636" i="1"/>
  <c r="M636" i="1" s="1"/>
  <c r="L612" i="1"/>
  <c r="M612" i="1" s="1"/>
  <c r="L611" i="1"/>
  <c r="M611" i="1" s="1"/>
  <c r="L610" i="1"/>
  <c r="M610" i="1" s="1"/>
  <c r="L609" i="1"/>
  <c r="M609" i="1" s="1"/>
  <c r="L608" i="1"/>
  <c r="M608" i="1" s="1"/>
  <c r="L607" i="1"/>
  <c r="M607" i="1" s="1"/>
  <c r="L606" i="1"/>
  <c r="M606" i="1" s="1"/>
  <c r="L605" i="1"/>
  <c r="M605" i="1" s="1"/>
  <c r="L604" i="1"/>
  <c r="M604" i="1" s="1"/>
  <c r="L603" i="1"/>
  <c r="M603" i="1" s="1"/>
  <c r="L601" i="1"/>
  <c r="M601" i="1" s="1"/>
  <c r="L600" i="1"/>
  <c r="M600" i="1" s="1"/>
  <c r="L599" i="1"/>
  <c r="M599" i="1" s="1"/>
  <c r="L598" i="1"/>
  <c r="M598" i="1" s="1"/>
  <c r="L597" i="1"/>
  <c r="M597" i="1" s="1"/>
  <c r="L596" i="1"/>
  <c r="M596" i="1" s="1"/>
  <c r="L587" i="1"/>
  <c r="M587" i="1" s="1"/>
  <c r="L586" i="1"/>
  <c r="M586" i="1" s="1"/>
  <c r="L585" i="1"/>
  <c r="M585" i="1" s="1"/>
  <c r="L584" i="1"/>
  <c r="M584" i="1" s="1"/>
  <c r="L583" i="1"/>
  <c r="M583" i="1" s="1"/>
  <c r="L582" i="1"/>
  <c r="M582" i="1" s="1"/>
  <c r="L581" i="1"/>
  <c r="M581" i="1" s="1"/>
  <c r="L580" i="1"/>
  <c r="M580" i="1" s="1"/>
  <c r="L579" i="1"/>
  <c r="M579" i="1" s="1"/>
  <c r="L578" i="1"/>
  <c r="M578" i="1" s="1"/>
  <c r="L577" i="1"/>
  <c r="M577" i="1" s="1"/>
  <c r="L575" i="1"/>
  <c r="M575" i="1" s="1"/>
  <c r="L574" i="1"/>
  <c r="M574" i="1" s="1"/>
  <c r="L571" i="1"/>
  <c r="M571" i="1" s="1"/>
  <c r="L570" i="1"/>
  <c r="M570" i="1" s="1"/>
  <c r="L569" i="1"/>
  <c r="M569" i="1" s="1"/>
  <c r="L568" i="1"/>
  <c r="M568" i="1" s="1"/>
  <c r="L567" i="1"/>
  <c r="M567" i="1" s="1"/>
  <c r="L566" i="1"/>
  <c r="M566" i="1" s="1"/>
  <c r="L563" i="1"/>
  <c r="M563" i="1" s="1"/>
  <c r="L562" i="1"/>
  <c r="M562" i="1" s="1"/>
  <c r="L436" i="1"/>
  <c r="M436" i="1" s="1"/>
  <c r="L435" i="1"/>
  <c r="M435" i="1" s="1"/>
  <c r="L434" i="1"/>
  <c r="M434" i="1" s="1"/>
  <c r="L433" i="1"/>
  <c r="M433" i="1" s="1"/>
  <c r="L432" i="1"/>
  <c r="M432" i="1" s="1"/>
  <c r="L422" i="1"/>
  <c r="M422" i="1" s="1"/>
  <c r="L421" i="1"/>
  <c r="M421" i="1" s="1"/>
  <c r="L420" i="1"/>
  <c r="M420" i="1" s="1"/>
  <c r="L419" i="1"/>
  <c r="M419" i="1" s="1"/>
  <c r="L418" i="1"/>
  <c r="M418" i="1" s="1"/>
  <c r="L417" i="1"/>
  <c r="M417" i="1" s="1"/>
  <c r="L416" i="1"/>
  <c r="M416" i="1" s="1"/>
  <c r="L406" i="1"/>
  <c r="M406" i="1" s="1"/>
  <c r="L405" i="1"/>
  <c r="M405" i="1" s="1"/>
  <c r="L404" i="1"/>
  <c r="M404" i="1" s="1"/>
  <c r="L403" i="1"/>
  <c r="M403" i="1" s="1"/>
  <c r="L402" i="1"/>
  <c r="M402" i="1" s="1"/>
  <c r="L401" i="1"/>
  <c r="M401" i="1" s="1"/>
  <c r="L400" i="1"/>
  <c r="M400" i="1" s="1"/>
  <c r="L399" i="1"/>
  <c r="M399" i="1" s="1"/>
  <c r="L398" i="1"/>
  <c r="M398" i="1" s="1"/>
  <c r="L397" i="1"/>
  <c r="M397" i="1" s="1"/>
  <c r="L396" i="1"/>
  <c r="M396" i="1" s="1"/>
  <c r="L395" i="1"/>
  <c r="M395" i="1" s="1"/>
  <c r="L387" i="1"/>
  <c r="M387" i="1" s="1"/>
  <c r="L386" i="1"/>
  <c r="M386" i="1" s="1"/>
  <c r="L380" i="1"/>
  <c r="M380" i="1" s="1"/>
  <c r="L379" i="1"/>
  <c r="M379" i="1" s="1"/>
  <c r="L378" i="1"/>
  <c r="M378" i="1" s="1"/>
  <c r="L377" i="1"/>
  <c r="M377" i="1" s="1"/>
  <c r="L376" i="1"/>
  <c r="M376" i="1" s="1"/>
  <c r="L375" i="1"/>
  <c r="M375" i="1" s="1"/>
  <c r="L374" i="1"/>
  <c r="M374" i="1" s="1"/>
  <c r="L373" i="1"/>
  <c r="M373" i="1" s="1"/>
  <c r="L340" i="1"/>
  <c r="M340" i="1" s="1"/>
  <c r="L336" i="1"/>
  <c r="M336" i="1" s="1"/>
  <c r="L335" i="1"/>
  <c r="M335" i="1" s="1"/>
  <c r="L334" i="1"/>
  <c r="M334" i="1" s="1"/>
  <c r="L333" i="1"/>
  <c r="M333" i="1" s="1"/>
  <c r="L332" i="1"/>
  <c r="M332" i="1" s="1"/>
  <c r="L331" i="1"/>
  <c r="M331" i="1" s="1"/>
  <c r="L257" i="1"/>
  <c r="M257" i="1" s="1"/>
  <c r="L216" i="1"/>
  <c r="M216" i="1" s="1"/>
  <c r="L215" i="1"/>
  <c r="M215" i="1" s="1"/>
  <c r="L214" i="1"/>
  <c r="M214" i="1" s="1"/>
  <c r="L213" i="1"/>
  <c r="M213" i="1" s="1"/>
  <c r="L212" i="1"/>
  <c r="M212" i="1" s="1"/>
  <c r="L211" i="1"/>
  <c r="M211" i="1" s="1"/>
  <c r="L209" i="1"/>
  <c r="M209" i="1" s="1"/>
  <c r="L208" i="1"/>
  <c r="M208" i="1" s="1"/>
  <c r="L207" i="1"/>
  <c r="M207" i="1" s="1"/>
  <c r="L206" i="1"/>
  <c r="M206" i="1" s="1"/>
  <c r="L205" i="1"/>
  <c r="M205" i="1" s="1"/>
  <c r="L204" i="1"/>
  <c r="M204" i="1" s="1"/>
  <c r="L203" i="1"/>
  <c r="M203" i="1" s="1"/>
  <c r="L202" i="1"/>
  <c r="M202" i="1" s="1"/>
  <c r="L201" i="1"/>
  <c r="M201" i="1" s="1"/>
  <c r="L200" i="1"/>
  <c r="M200" i="1" s="1"/>
  <c r="L199" i="1"/>
  <c r="M199" i="1" s="1"/>
  <c r="L198" i="1"/>
  <c r="M198" i="1" s="1"/>
  <c r="L197" i="1"/>
  <c r="M197" i="1" s="1"/>
  <c r="L196" i="1"/>
  <c r="M196" i="1" s="1"/>
  <c r="L195" i="1"/>
  <c r="M195" i="1" s="1"/>
  <c r="L194" i="1"/>
  <c r="M194" i="1" s="1"/>
  <c r="L193" i="1"/>
  <c r="M193" i="1" s="1"/>
  <c r="L192" i="1"/>
  <c r="M192" i="1" s="1"/>
  <c r="L191" i="1"/>
  <c r="M191" i="1" s="1"/>
  <c r="L190" i="1"/>
  <c r="M190" i="1" s="1"/>
  <c r="L189" i="1"/>
  <c r="M189" i="1" s="1"/>
  <c r="L188" i="1"/>
  <c r="M188" i="1" s="1"/>
  <c r="L187" i="1"/>
  <c r="M187" i="1" s="1"/>
  <c r="L186" i="1"/>
  <c r="M186" i="1" s="1"/>
  <c r="L185" i="1"/>
  <c r="M185" i="1" s="1"/>
  <c r="L184" i="1"/>
  <c r="M184" i="1" s="1"/>
  <c r="L183" i="1"/>
  <c r="M183" i="1" s="1"/>
  <c r="L182" i="1"/>
  <c r="M182" i="1" s="1"/>
  <c r="L181" i="1"/>
  <c r="M181" i="1" s="1"/>
  <c r="L180" i="1"/>
  <c r="M180" i="1" s="1"/>
  <c r="L179" i="1"/>
  <c r="M179" i="1" s="1"/>
  <c r="L178" i="1"/>
  <c r="M178" i="1" s="1"/>
  <c r="L177" i="1"/>
  <c r="M177" i="1" s="1"/>
  <c r="L176" i="1"/>
  <c r="M176" i="1" s="1"/>
  <c r="L175" i="1"/>
  <c r="M175" i="1" s="1"/>
  <c r="L174" i="1"/>
  <c r="M174" i="1" s="1"/>
  <c r="L173" i="1"/>
  <c r="M173" i="1" s="1"/>
  <c r="L172" i="1"/>
  <c r="M172" i="1" s="1"/>
  <c r="L171" i="1"/>
  <c r="M171" i="1" s="1"/>
  <c r="L170" i="1"/>
  <c r="M170" i="1" s="1"/>
  <c r="L169" i="1"/>
  <c r="M169" i="1" s="1"/>
  <c r="L168" i="1"/>
  <c r="M168" i="1" s="1"/>
  <c r="L167" i="1"/>
  <c r="M167" i="1" s="1"/>
  <c r="L166" i="1"/>
  <c r="M166" i="1" s="1"/>
  <c r="L165" i="1"/>
  <c r="M165" i="1" s="1"/>
  <c r="L164" i="1"/>
  <c r="M164" i="1" s="1"/>
  <c r="L163" i="1"/>
  <c r="M163" i="1" s="1"/>
  <c r="L162" i="1"/>
  <c r="M162" i="1" s="1"/>
  <c r="L161" i="1"/>
  <c r="M161" i="1" s="1"/>
  <c r="L160" i="1"/>
  <c r="M160" i="1" s="1"/>
  <c r="L159" i="1"/>
  <c r="M159" i="1" s="1"/>
  <c r="L158" i="1"/>
  <c r="M158" i="1" s="1"/>
  <c r="L157" i="1"/>
  <c r="M157" i="1" s="1"/>
  <c r="L156" i="1"/>
  <c r="M156" i="1" s="1"/>
  <c r="L155" i="1"/>
  <c r="M155" i="1" s="1"/>
  <c r="L154" i="1"/>
  <c r="M154" i="1" s="1"/>
  <c r="L153" i="1"/>
  <c r="M153" i="1" s="1"/>
  <c r="L152" i="1"/>
  <c r="M152" i="1" s="1"/>
  <c r="L151" i="1"/>
  <c r="M151" i="1" s="1"/>
  <c r="L150" i="1"/>
  <c r="M150" i="1" s="1"/>
  <c r="L149" i="1"/>
  <c r="M149" i="1" s="1"/>
  <c r="L148" i="1"/>
  <c r="M148" i="1" s="1"/>
  <c r="L147" i="1"/>
  <c r="M147" i="1" s="1"/>
  <c r="L146" i="1"/>
  <c r="M146" i="1" s="1"/>
  <c r="L145" i="1"/>
  <c r="M145" i="1" s="1"/>
  <c r="L144" i="1"/>
  <c r="M144" i="1" s="1"/>
  <c r="L143" i="1"/>
  <c r="M143" i="1" s="1"/>
  <c r="L142" i="1"/>
  <c r="M142" i="1" s="1"/>
  <c r="L141" i="1"/>
  <c r="M141" i="1" s="1"/>
  <c r="L140" i="1"/>
  <c r="M140" i="1" s="1"/>
  <c r="L139" i="1"/>
  <c r="M139" i="1" s="1"/>
  <c r="L138" i="1"/>
  <c r="M138" i="1" s="1"/>
  <c r="L137" i="1"/>
  <c r="M137" i="1" s="1"/>
  <c r="L136" i="1"/>
  <c r="M136" i="1" s="1"/>
  <c r="L135" i="1"/>
  <c r="M135" i="1" s="1"/>
  <c r="L134" i="1"/>
  <c r="M134" i="1" s="1"/>
  <c r="L133" i="1"/>
  <c r="M133" i="1" s="1"/>
  <c r="L132" i="1"/>
  <c r="M132" i="1" s="1"/>
  <c r="L131" i="1"/>
  <c r="M131" i="1" s="1"/>
  <c r="L130" i="1"/>
  <c r="M130" i="1" s="1"/>
  <c r="L129" i="1"/>
  <c r="M129" i="1" s="1"/>
  <c r="L128" i="1"/>
  <c r="M128" i="1" s="1"/>
  <c r="L127" i="1"/>
  <c r="M127" i="1" s="1"/>
  <c r="L126" i="1"/>
  <c r="M126" i="1" s="1"/>
  <c r="L125" i="1"/>
  <c r="M125" i="1" s="1"/>
  <c r="L124" i="1"/>
  <c r="M124" i="1" s="1"/>
  <c r="L123" i="1"/>
  <c r="M123" i="1" s="1"/>
  <c r="L122" i="1"/>
  <c r="M122" i="1" s="1"/>
  <c r="L121" i="1"/>
  <c r="M121" i="1" s="1"/>
  <c r="L120" i="1"/>
  <c r="M120" i="1" s="1"/>
  <c r="L119" i="1"/>
  <c r="M119" i="1" s="1"/>
  <c r="L118" i="1"/>
  <c r="M118" i="1" s="1"/>
  <c r="L117" i="1"/>
  <c r="M117" i="1" s="1"/>
  <c r="L116" i="1"/>
  <c r="M116" i="1" s="1"/>
  <c r="L115" i="1"/>
  <c r="M115" i="1" s="1"/>
  <c r="L114" i="1"/>
  <c r="M114" i="1" s="1"/>
  <c r="L113" i="1"/>
  <c r="M113" i="1" s="1"/>
  <c r="L112" i="1"/>
  <c r="M112" i="1" s="1"/>
  <c r="L111" i="1"/>
  <c r="M111" i="1" s="1"/>
  <c r="L110" i="1"/>
  <c r="M110" i="1" s="1"/>
  <c r="L109" i="1"/>
  <c r="M109" i="1" s="1"/>
  <c r="L108" i="1"/>
  <c r="M108" i="1" s="1"/>
  <c r="L107" i="1"/>
  <c r="M107" i="1" s="1"/>
  <c r="L106" i="1"/>
  <c r="M106" i="1" s="1"/>
  <c r="L105" i="1"/>
  <c r="M105" i="1" s="1"/>
  <c r="L104" i="1"/>
  <c r="M104" i="1" s="1"/>
  <c r="L103" i="1"/>
  <c r="M103" i="1" s="1"/>
  <c r="L102" i="1"/>
  <c r="M102" i="1" s="1"/>
  <c r="L101" i="1"/>
  <c r="M101" i="1" s="1"/>
  <c r="L100" i="1"/>
  <c r="M100" i="1" s="1"/>
  <c r="L99" i="1"/>
  <c r="M99" i="1" s="1"/>
  <c r="L98" i="1"/>
  <c r="M98" i="1" s="1"/>
  <c r="L97" i="1"/>
  <c r="M97" i="1" s="1"/>
  <c r="L96" i="1"/>
  <c r="M96" i="1" s="1"/>
  <c r="L95" i="1"/>
  <c r="M95" i="1" s="1"/>
  <c r="L94" i="1"/>
  <c r="M94" i="1" s="1"/>
  <c r="L93" i="1"/>
  <c r="M93" i="1" s="1"/>
  <c r="L92" i="1"/>
  <c r="M92" i="1" s="1"/>
  <c r="L91" i="1"/>
  <c r="M91" i="1" s="1"/>
  <c r="L90" i="1"/>
  <c r="M90" i="1" s="1"/>
  <c r="L89" i="1"/>
  <c r="M89" i="1" s="1"/>
  <c r="L88" i="1"/>
  <c r="M88" i="1" s="1"/>
  <c r="L87" i="1"/>
  <c r="M87" i="1" s="1"/>
  <c r="L86" i="1"/>
  <c r="M86" i="1" s="1"/>
  <c r="L85" i="1"/>
  <c r="M85" i="1" s="1"/>
  <c r="L84" i="1"/>
  <c r="M84" i="1" s="1"/>
  <c r="L83" i="1"/>
  <c r="M83" i="1" s="1"/>
  <c r="L82" i="1"/>
  <c r="M82" i="1" s="1"/>
  <c r="L81" i="1"/>
  <c r="M81" i="1" s="1"/>
  <c r="L80" i="1"/>
  <c r="M80" i="1" s="1"/>
  <c r="L79" i="1"/>
  <c r="M79" i="1" s="1"/>
  <c r="L78" i="1"/>
  <c r="M78" i="1" s="1"/>
  <c r="L77" i="1"/>
  <c r="M77" i="1" s="1"/>
  <c r="L76" i="1"/>
  <c r="M76" i="1" s="1"/>
  <c r="L75" i="1"/>
  <c r="M75" i="1" s="1"/>
  <c r="L74" i="1"/>
  <c r="M74" i="1" s="1"/>
  <c r="L73" i="1"/>
  <c r="M73" i="1" s="1"/>
  <c r="L72" i="1"/>
  <c r="M72" i="1" s="1"/>
  <c r="L71" i="1"/>
  <c r="M71" i="1" s="1"/>
  <c r="L70" i="1"/>
  <c r="M70" i="1" s="1"/>
  <c r="L58" i="1"/>
  <c r="M58" i="1" s="1"/>
  <c r="L57" i="1"/>
  <c r="M57" i="1" s="1"/>
  <c r="L56" i="1"/>
  <c r="M56" i="1" s="1"/>
  <c r="L55" i="1"/>
  <c r="M55" i="1" s="1"/>
  <c r="L54" i="1"/>
  <c r="M54" i="1" s="1"/>
  <c r="L53" i="1"/>
  <c r="M53" i="1" s="1"/>
  <c r="L52" i="1"/>
  <c r="M52" i="1" s="1"/>
  <c r="L51" i="1"/>
  <c r="M51" i="1" s="1"/>
  <c r="L50" i="1"/>
  <c r="M50" i="1" s="1"/>
  <c r="L49" i="1"/>
  <c r="M49" i="1" s="1"/>
  <c r="L48" i="1"/>
  <c r="M48" i="1" s="1"/>
  <c r="L47" i="1"/>
  <c r="M47" i="1" s="1"/>
  <c r="L46" i="1"/>
  <c r="M46" i="1" s="1"/>
  <c r="L45" i="1"/>
  <c r="M45" i="1" s="1"/>
  <c r="L44" i="1"/>
  <c r="M44" i="1" s="1"/>
  <c r="L43" i="1"/>
  <c r="M43" i="1" s="1"/>
  <c r="L42" i="1"/>
  <c r="M42" i="1" s="1"/>
  <c r="L41" i="1"/>
  <c r="M41" i="1" s="1"/>
  <c r="L40" i="1"/>
  <c r="M40" i="1" s="1"/>
  <c r="L37" i="1"/>
  <c r="M37" i="1" s="1"/>
  <c r="L36" i="1"/>
  <c r="M36" i="1" s="1"/>
  <c r="L35" i="1"/>
  <c r="M35" i="1" s="1"/>
  <c r="L34" i="1"/>
  <c r="M34" i="1" s="1"/>
  <c r="L33" i="1"/>
  <c r="M33" i="1" s="1"/>
  <c r="L23" i="1"/>
  <c r="M23" i="1" s="1"/>
  <c r="L22" i="1"/>
  <c r="M22" i="1" s="1"/>
  <c r="L21" i="1"/>
  <c r="M21" i="1" s="1"/>
  <c r="L20" i="1"/>
  <c r="M20" i="1" s="1"/>
  <c r="L19" i="1"/>
  <c r="M19" i="1" s="1"/>
  <c r="L18" i="1"/>
  <c r="M18" i="1" s="1"/>
  <c r="L17" i="1"/>
  <c r="M17" i="1" s="1"/>
  <c r="L16" i="1"/>
  <c r="M16" i="1" s="1"/>
  <c r="L15" i="1"/>
  <c r="M15" i="1" s="1"/>
  <c r="L14" i="1"/>
  <c r="M14" i="1" s="1"/>
  <c r="L13" i="1"/>
  <c r="M13" i="1" s="1"/>
  <c r="L12" i="1"/>
  <c r="M12" i="1" s="1"/>
  <c r="L11" i="1"/>
  <c r="M11" i="1" s="1"/>
  <c r="L10" i="1"/>
  <c r="M10" i="1" s="1"/>
  <c r="L9" i="1"/>
  <c r="M9" i="1" s="1"/>
  <c r="L8" i="1"/>
  <c r="M8" i="1" s="1"/>
  <c r="L7" i="1"/>
  <c r="M7" i="1" s="1"/>
</calcChain>
</file>

<file path=xl/sharedStrings.xml><?xml version="1.0" encoding="utf-8"?>
<sst xmlns="http://schemas.openxmlformats.org/spreadsheetml/2006/main" count="1687" uniqueCount="916">
  <si>
    <t>CARACTERISTICAS</t>
  </si>
  <si>
    <t>LOTE</t>
  </si>
  <si>
    <t>UNIDAD</t>
  </si>
  <si>
    <t>COSTO $</t>
  </si>
  <si>
    <t>VENTA $</t>
  </si>
  <si>
    <t>VENTA BS</t>
  </si>
  <si>
    <t>TASA BINANCE</t>
  </si>
  <si>
    <t>TASA BCV</t>
  </si>
  <si>
    <t>PRECIO BASE</t>
  </si>
  <si>
    <t>POTENCIA Y CONTROL</t>
  </si>
  <si>
    <t>RIN</t>
  </si>
  <si>
    <t>N18 DE PALETA TRASERO HORSE CLASE AAA</t>
  </si>
  <si>
    <t>N18 DE PALETA TRASERO BERA ORIGINAL</t>
  </si>
  <si>
    <t>N18 DE PALETA TRASERO HORSE CLASE C</t>
  </si>
  <si>
    <t>N18 DE PALETA TRASERO BERA CLASE C</t>
  </si>
  <si>
    <t>N16 DE PALETA TRASERO OWEN CLASE C</t>
  </si>
  <si>
    <t>N18 DE PALETA TRASERO MD CLASE C</t>
  </si>
  <si>
    <t>N18 DE PALETA TRASERO NEW HORSE CLASE C</t>
  </si>
  <si>
    <t>N18 DE PALETA TRASERO EXPRESS CLASE C</t>
  </si>
  <si>
    <t xml:space="preserve">N18 DE PALETA TRASERO EXPRESS-36 RAYOS </t>
  </si>
  <si>
    <r>
      <t xml:space="preserve">N18 DE PALETA TRASERO EXPRESS-72 RAYOS </t>
    </r>
    <r>
      <rPr>
        <b/>
        <sz val="11"/>
        <color theme="1"/>
        <rFont val="Calibri"/>
        <family val="2"/>
        <scheme val="minor"/>
      </rPr>
      <t>PAR</t>
    </r>
    <r>
      <rPr>
        <sz val="11"/>
        <color theme="1"/>
        <rFont val="Calibri"/>
        <family val="2"/>
        <scheme val="minor"/>
      </rPr>
      <t xml:space="preserve"> FRENO DE DISCO</t>
    </r>
  </si>
  <si>
    <r>
      <t xml:space="preserve">N18 DE PALETA TRASERO EXPRESS-72 RAYOS </t>
    </r>
    <r>
      <rPr>
        <b/>
        <sz val="11"/>
        <color theme="1"/>
        <rFont val="Calibri"/>
        <family val="2"/>
        <scheme val="minor"/>
      </rPr>
      <t>PAR</t>
    </r>
    <r>
      <rPr>
        <sz val="11"/>
        <color theme="1"/>
        <rFont val="Calibri"/>
        <family val="2"/>
        <scheme val="minor"/>
      </rPr>
      <t xml:space="preserve"> FRENO DE BANDA</t>
    </r>
  </si>
  <si>
    <t>N18 DE PALETA DELANTERO HORSE</t>
  </si>
  <si>
    <t>N18 DE PALETA DELANTERO BERA</t>
  </si>
  <si>
    <t xml:space="preserve">N18 DE PALETA DELANTERO MD </t>
  </si>
  <si>
    <t>N18 DE PALETA DELANTERO NEW HORSE</t>
  </si>
  <si>
    <t>N18 DE PALETA DELANTERO EXPRESS</t>
  </si>
  <si>
    <t xml:space="preserve">N18 DE PALETA DELANTERO EXPRESS-36 RAYOS </t>
  </si>
  <si>
    <t>RODAJE</t>
  </si>
  <si>
    <t>CADENA,PIÑÓN Y CORONA CLASE A DORADO</t>
  </si>
  <si>
    <t>CADENA,PIÑÓN Y CORONA CLASE A COLORES(TORNASOL, AZUL, MORADO)</t>
  </si>
  <si>
    <r>
      <t xml:space="preserve">CADENA DE </t>
    </r>
    <r>
      <rPr>
        <b/>
        <sz val="11"/>
        <color rgb="FFFF0000"/>
        <rFont val="Calibri"/>
        <family val="2"/>
        <scheme val="minor"/>
      </rPr>
      <t>ORRIN</t>
    </r>
    <r>
      <rPr>
        <sz val="11"/>
        <color theme="1"/>
        <rFont val="Calibri"/>
        <family val="2"/>
        <scheme val="minor"/>
      </rPr>
      <t>,PIÑÓN Y CORONA CLASE A DORADO</t>
    </r>
  </si>
  <si>
    <t>CADENA,PIÑÓN Y CORONA REFORZADO NEGRO</t>
  </si>
  <si>
    <t>CADENA,PIÑÓN Y CORONA REFORZADO CROMADO CLASE C</t>
  </si>
  <si>
    <t>CADENA</t>
  </si>
  <si>
    <r>
      <t xml:space="preserve">525 </t>
    </r>
    <r>
      <rPr>
        <b/>
        <sz val="11"/>
        <color rgb="FFFF0000"/>
        <rFont val="Calibri"/>
        <family val="2"/>
        <scheme val="minor"/>
      </rPr>
      <t>ORRIN</t>
    </r>
    <r>
      <rPr>
        <sz val="11"/>
        <color theme="1"/>
        <rFont val="Calibri"/>
        <family val="2"/>
        <scheme val="minor"/>
      </rPr>
      <t xml:space="preserve"> DORADA</t>
    </r>
  </si>
  <si>
    <t>525 DORADA REFORZADA</t>
  </si>
  <si>
    <t>VENTA USDT</t>
  </si>
  <si>
    <t>CADENA,PIÑÓN Y CORONA 520 COMPATIBLE MD LECHUZA, TX, DT BERA</t>
  </si>
  <si>
    <t>428 ECONÓMICA REFORZADA</t>
  </si>
  <si>
    <t>428 NEGRA REFORZADA</t>
  </si>
  <si>
    <t>428 DORADA REFORZADA</t>
  </si>
  <si>
    <r>
      <t xml:space="preserve">428 </t>
    </r>
    <r>
      <rPr>
        <b/>
        <sz val="11"/>
        <color rgb="FFFF0000"/>
        <rFont val="Calibri"/>
        <family val="2"/>
        <scheme val="minor"/>
      </rPr>
      <t xml:space="preserve">ORRIN </t>
    </r>
    <r>
      <rPr>
        <b/>
        <sz val="11"/>
        <rFont val="Calibri"/>
        <family val="2"/>
        <scheme val="minor"/>
      </rPr>
      <t>SÚPERREFORZADA</t>
    </r>
  </si>
  <si>
    <t>CORONA</t>
  </si>
  <si>
    <t>35 RIN PALETA CROMADA</t>
  </si>
  <si>
    <t>36 RIN PALETA CROMADA</t>
  </si>
  <si>
    <t>37 RIN PALETA CROMADA</t>
  </si>
  <si>
    <t>38 RIN PALETA CROMADA</t>
  </si>
  <si>
    <t>39 RIN PALETA CROMADA</t>
  </si>
  <si>
    <t>40 RIN PALETA CROMADA</t>
  </si>
  <si>
    <t>41 RIN PALETA CROMADA</t>
  </si>
  <si>
    <t>42 RIN PALETA CROMADA</t>
  </si>
  <si>
    <t>43 RIN PALETA CROMADA</t>
  </si>
  <si>
    <t>44 RIN PALETA CROMADA</t>
  </si>
  <si>
    <t>45 RIN PALETA CROMADA</t>
  </si>
  <si>
    <t>35 RIN RAYOS CROMADA</t>
  </si>
  <si>
    <t>36 RIN RAYOS CROMADA</t>
  </si>
  <si>
    <t>37 RIN RAYOS CROMADA</t>
  </si>
  <si>
    <t>38 RIN RAYOS CROMADA</t>
  </si>
  <si>
    <t>39 RIN RAYOS CROMADA</t>
  </si>
  <si>
    <t>40 RIN RAYOS CROMADA</t>
  </si>
  <si>
    <t>41 RIN RAYOS CROMADA</t>
  </si>
  <si>
    <t>42 RIN RAYOS CROMADA</t>
  </si>
  <si>
    <t>43 RIN RAYOS CROMADA</t>
  </si>
  <si>
    <t>44 RIN RAYOS CROMADA</t>
  </si>
  <si>
    <t>45 RIN RAYOS CROMADA</t>
  </si>
  <si>
    <t>35 MD CROMADA</t>
  </si>
  <si>
    <t>36 MD CROMADA</t>
  </si>
  <si>
    <t>37 MD CROMADA</t>
  </si>
  <si>
    <t>38 MD CROMADA</t>
  </si>
  <si>
    <t>39 MD CROMADA</t>
  </si>
  <si>
    <t>40 MD CROMADA</t>
  </si>
  <si>
    <t>41 MD CROMADA</t>
  </si>
  <si>
    <t>42 MD CROMADA</t>
  </si>
  <si>
    <t>43 MD CROMADA</t>
  </si>
  <si>
    <t>44 MD CROMADA</t>
  </si>
  <si>
    <t>45 MD CROMADA</t>
  </si>
  <si>
    <t>35 RIN PALETA NEGRA</t>
  </si>
  <si>
    <t>36 RIN PALETA NEGRA</t>
  </si>
  <si>
    <t>37 RIN PALETA NEGRA</t>
  </si>
  <si>
    <t>38 RIN PALETA NEGRA</t>
  </si>
  <si>
    <t>39 RIN PALETA NEGRA</t>
  </si>
  <si>
    <t>40 RIN PALETA NEGRA</t>
  </si>
  <si>
    <t>41 RIN PALETA NEGRA</t>
  </si>
  <si>
    <t>42 RIN PALETA NEGRA</t>
  </si>
  <si>
    <t>43 RIN PALETA NEGRA</t>
  </si>
  <si>
    <t>44 RIN PALETA NEGRA</t>
  </si>
  <si>
    <t>45 RIN PALETA NEGRA</t>
  </si>
  <si>
    <t>35 RIN RAYOS NEGRA</t>
  </si>
  <si>
    <t>36 RIN RAYOS NEGRA</t>
  </si>
  <si>
    <t>37 RIN RAYOS NEGRA</t>
  </si>
  <si>
    <t>38 RIN RAYOS NEGRA</t>
  </si>
  <si>
    <t>39 RIN RAYOS NEGRA</t>
  </si>
  <si>
    <t>40 RIN RAYOS NEGRA</t>
  </si>
  <si>
    <t>41 RIN RAYOS NEGRA</t>
  </si>
  <si>
    <t>42 RIN RAYOS NEGRA</t>
  </si>
  <si>
    <t>43 RIN RAYOS NEGRA</t>
  </si>
  <si>
    <t>44 RIN RAYOS NEGRA</t>
  </si>
  <si>
    <t>45 RIN RAYOS NEGRA</t>
  </si>
  <si>
    <t>35 MD NEGRA</t>
  </si>
  <si>
    <t>36 MD NEGRA</t>
  </si>
  <si>
    <t>37 MD NEGRA</t>
  </si>
  <si>
    <t>38 MD NEGRA</t>
  </si>
  <si>
    <t>39 MD NEGRA</t>
  </si>
  <si>
    <t>40 MD NEGRA</t>
  </si>
  <si>
    <t>41 MD NEGRA</t>
  </si>
  <si>
    <t>42 MD NEGRA</t>
  </si>
  <si>
    <t>43 MD NEGRA</t>
  </si>
  <si>
    <t>44 MD NEGRA</t>
  </si>
  <si>
    <t>45 MD NEGRA</t>
  </si>
  <si>
    <t xml:space="preserve">35 RIN PALETA DORADA </t>
  </si>
  <si>
    <t>36 RIN PALETA DORADA</t>
  </si>
  <si>
    <t>37 RIN PALETA DORADA</t>
  </si>
  <si>
    <t>38 RIN PALETA DORADA</t>
  </si>
  <si>
    <t>39 RIN PALETA DORADA</t>
  </si>
  <si>
    <t>40 RIN PALETA DORADA</t>
  </si>
  <si>
    <t>41 RIN PALETA DORADA</t>
  </si>
  <si>
    <t>42 RIN PALETA DORADA</t>
  </si>
  <si>
    <t>43 RIN PALETA DORADA</t>
  </si>
  <si>
    <t>44 RIN PALETA DORADA</t>
  </si>
  <si>
    <t>45 RIN PALETA DORADA</t>
  </si>
  <si>
    <t>35 RIN RAYOS DORADA</t>
  </si>
  <si>
    <t>36 RIN RAYOS DORADA</t>
  </si>
  <si>
    <t>37 RIN RAYOS DORADA</t>
  </si>
  <si>
    <t>38 RIN RAYOS DORADA</t>
  </si>
  <si>
    <t>39 RIN RAYOS DORADA</t>
  </si>
  <si>
    <t>40 RIN RAYOS DORADA</t>
  </si>
  <si>
    <t>41 RIN RAYOS DORADA</t>
  </si>
  <si>
    <t>42 RIN RAYOS DORADA</t>
  </si>
  <si>
    <t>43 RIN RAYOS DORADA</t>
  </si>
  <si>
    <t>44 RIN RAYOS DORADA</t>
  </si>
  <si>
    <t>45 RIN RAYOS DORADA</t>
  </si>
  <si>
    <t>35 MD DORADA</t>
  </si>
  <si>
    <t>36 MD DORADA</t>
  </si>
  <si>
    <t>37 MD DORADA</t>
  </si>
  <si>
    <t>38 MD DORADA</t>
  </si>
  <si>
    <t>39 MD DORADA</t>
  </si>
  <si>
    <t>40 MD DORADA</t>
  </si>
  <si>
    <t>41 MD DORADA</t>
  </si>
  <si>
    <t>42 MD DORADA</t>
  </si>
  <si>
    <t>43 MD DORADA</t>
  </si>
  <si>
    <t>44 MD DORADA</t>
  </si>
  <si>
    <t>45 MD DORADA</t>
  </si>
  <si>
    <t>428 52T YIDO DORADA</t>
  </si>
  <si>
    <t>42 TX CROMADA</t>
  </si>
  <si>
    <t>43 TX CROMADA</t>
  </si>
  <si>
    <t>44 TX CROMADA</t>
  </si>
  <si>
    <t>45 TX CROMADA</t>
  </si>
  <si>
    <t>42 TX NEGRA</t>
  </si>
  <si>
    <t>43 TX NEGRA</t>
  </si>
  <si>
    <t>44 TX NEGRA</t>
  </si>
  <si>
    <t>45 TX NEGRA</t>
  </si>
  <si>
    <t>42 TX DORADA</t>
  </si>
  <si>
    <t>43 TX DORADA</t>
  </si>
  <si>
    <t>44 TX DORADA</t>
  </si>
  <si>
    <t>45 TX DORADA</t>
  </si>
  <si>
    <t xml:space="preserve">520 43T </t>
  </si>
  <si>
    <t>CADENA, PIÑÓN Y CORONA MD LECHUZA ORIGINAL 2025</t>
  </si>
  <si>
    <t>PIÑÓN</t>
  </si>
  <si>
    <t>15 HORSE NEGRO</t>
  </si>
  <si>
    <t>16 HORSE NEGRO</t>
  </si>
  <si>
    <t>17 HORSE NEGRO</t>
  </si>
  <si>
    <t>14 HORSE CROMADO</t>
  </si>
  <si>
    <t>15 HORSE CROMADO</t>
  </si>
  <si>
    <t>16 HORSE CROMADO</t>
  </si>
  <si>
    <t>17 HORSE CROMADO</t>
  </si>
  <si>
    <r>
      <t xml:space="preserve">14 HORSE CROMADO </t>
    </r>
    <r>
      <rPr>
        <b/>
        <sz val="11"/>
        <color rgb="FFFF0000"/>
        <rFont val="Calibri"/>
        <family val="2"/>
        <scheme val="minor"/>
      </rPr>
      <t>YIDO</t>
    </r>
  </si>
  <si>
    <r>
      <t xml:space="preserve">15 HORSE CROMADO </t>
    </r>
    <r>
      <rPr>
        <b/>
        <sz val="11"/>
        <color rgb="FFFF0000"/>
        <rFont val="Calibri"/>
        <family val="2"/>
        <scheme val="minor"/>
      </rPr>
      <t>YIDO</t>
    </r>
  </si>
  <si>
    <r>
      <t xml:space="preserve">16 HORSE CROMADO </t>
    </r>
    <r>
      <rPr>
        <b/>
        <sz val="11"/>
        <color rgb="FFFF0000"/>
        <rFont val="Calibri"/>
        <family val="2"/>
        <scheme val="minor"/>
      </rPr>
      <t>YIDO</t>
    </r>
  </si>
  <si>
    <r>
      <t xml:space="preserve">17 HORSE CROMADO </t>
    </r>
    <r>
      <rPr>
        <b/>
        <sz val="11"/>
        <color rgb="FFFF0000"/>
        <rFont val="Calibri"/>
        <family val="2"/>
        <scheme val="minor"/>
      </rPr>
      <t>YIDO</t>
    </r>
  </si>
  <si>
    <r>
      <t xml:space="preserve">525 T13 DR650 DORADO </t>
    </r>
    <r>
      <rPr>
        <b/>
        <sz val="11"/>
        <color rgb="FFFF0000"/>
        <rFont val="Calibri"/>
        <family val="2"/>
        <scheme val="minor"/>
      </rPr>
      <t>YIDO</t>
    </r>
  </si>
  <si>
    <r>
      <t xml:space="preserve">525 T14 DR650 DORADO </t>
    </r>
    <r>
      <rPr>
        <b/>
        <sz val="11"/>
        <color rgb="FFFF0000"/>
        <rFont val="Calibri"/>
        <family val="2"/>
        <scheme val="minor"/>
      </rPr>
      <t>YIDO</t>
    </r>
  </si>
  <si>
    <r>
      <t xml:space="preserve">525 T15 DR650 DORADO </t>
    </r>
    <r>
      <rPr>
        <b/>
        <sz val="11"/>
        <color rgb="FFFF0000"/>
        <rFont val="Calibri"/>
        <family val="2"/>
        <scheme val="minor"/>
      </rPr>
      <t>YIDO</t>
    </r>
  </si>
  <si>
    <r>
      <t xml:space="preserve">525 T16 DR650 DORADO </t>
    </r>
    <r>
      <rPr>
        <b/>
        <sz val="11"/>
        <color rgb="FFFF0000"/>
        <rFont val="Calibri"/>
        <family val="2"/>
        <scheme val="minor"/>
      </rPr>
      <t>YIDO</t>
    </r>
  </si>
  <si>
    <r>
      <t xml:space="preserve">525 T13 VSTROM DORADO </t>
    </r>
    <r>
      <rPr>
        <b/>
        <sz val="11"/>
        <color rgb="FFFF0000"/>
        <rFont val="Calibri"/>
        <family val="2"/>
        <scheme val="minor"/>
      </rPr>
      <t>YIDO</t>
    </r>
  </si>
  <si>
    <r>
      <t xml:space="preserve">525 T14 VSTROM DORADO </t>
    </r>
    <r>
      <rPr>
        <b/>
        <sz val="11"/>
        <color rgb="FFFF0000"/>
        <rFont val="Calibri"/>
        <family val="2"/>
        <scheme val="minor"/>
      </rPr>
      <t>YIDO</t>
    </r>
  </si>
  <si>
    <r>
      <t xml:space="preserve">525 T15 VSTROM DORADO </t>
    </r>
    <r>
      <rPr>
        <b/>
        <sz val="11"/>
        <color rgb="FFFF0000"/>
        <rFont val="Calibri"/>
        <family val="2"/>
        <scheme val="minor"/>
      </rPr>
      <t>YIDO</t>
    </r>
  </si>
  <si>
    <r>
      <t xml:space="preserve">525 T16 VSTROM DORADO </t>
    </r>
    <r>
      <rPr>
        <b/>
        <sz val="11"/>
        <color rgb="FFFF0000"/>
        <rFont val="Calibri"/>
        <family val="2"/>
        <scheme val="minor"/>
      </rPr>
      <t>YIDO</t>
    </r>
  </si>
  <si>
    <t>ROLINERAS</t>
  </si>
  <si>
    <t>ACEITE</t>
  </si>
  <si>
    <t>LUBRICANTE</t>
  </si>
  <si>
    <t>ANTIOXIDANTE BENF CLASSIC 450 ML</t>
  </si>
  <si>
    <t>LUBRICANTES, SELLADORES Y SILOCONES</t>
  </si>
  <si>
    <t>PARTES DE MOTOR</t>
  </si>
  <si>
    <t>BUJIA</t>
  </si>
  <si>
    <t>D8TC NGK</t>
  </si>
  <si>
    <r>
      <t xml:space="preserve">A7TC </t>
    </r>
    <r>
      <rPr>
        <b/>
        <sz val="11"/>
        <color rgb="FFFF0000"/>
        <rFont val="Calibri"/>
        <family val="2"/>
        <scheme val="minor"/>
      </rPr>
      <t>AUTOMATICA</t>
    </r>
  </si>
  <si>
    <t>D8TC ECONOMICA</t>
  </si>
  <si>
    <t>HORSE, JAGUAR, BERA, TX PUNTA DE IRIDIO</t>
  </si>
  <si>
    <t>HORSE, JAGUAR, BERA, TX DENSO</t>
  </si>
  <si>
    <t>E6TC PLANTA JOE</t>
  </si>
  <si>
    <t>F5TC PLANTA TOYOTA MOTOBOMBA ECONOMICA</t>
  </si>
  <si>
    <t>MARCAMILLA</t>
  </si>
  <si>
    <t>CUENTA KILOMETRO HORSE</t>
  </si>
  <si>
    <t>CUENTA KILOMETRO BERA</t>
  </si>
  <si>
    <t>CUENTA KILOMETRO OWEN</t>
  </si>
  <si>
    <t>CUENTA KILOMETRO SPEED, MYSHOZUKI</t>
  </si>
  <si>
    <t xml:space="preserve">CUENTA KILOMETRO PALETA MD, EXPRESS </t>
  </si>
  <si>
    <t>ESTOPERA</t>
  </si>
  <si>
    <t>TX RIN DE PALETA BASTON DORADO 35 48 11</t>
  </si>
  <si>
    <t>TX RIN DE RAYO BASTON DORADO 37 47 10 PEQUEÑA</t>
  </si>
  <si>
    <t>DT 200, ARCEN 150 37 50 11</t>
  </si>
  <si>
    <t xml:space="preserve">GN125 BASTON 32 44 10.5 </t>
  </si>
  <si>
    <t>KIT CG, HORSE, TX</t>
  </si>
  <si>
    <t>KIT GY6 AUTOMATICA</t>
  </si>
  <si>
    <r>
      <t xml:space="preserve">KIT GY6 AUTOMATICA </t>
    </r>
    <r>
      <rPr>
        <b/>
        <sz val="11"/>
        <color rgb="FFFF0000"/>
        <rFont val="Calibri"/>
        <family val="2"/>
        <scheme val="minor"/>
      </rPr>
      <t>ALDRID</t>
    </r>
  </si>
  <si>
    <t>TORNILLOS</t>
  </si>
  <si>
    <t>KIT TORNILLOS LATERALES DE MOTOR</t>
  </si>
  <si>
    <t>SELECTOR</t>
  </si>
  <si>
    <t>KIT DE ESTRELLA Y PATIN DE CAMBIO HORSE, BERA, TX</t>
  </si>
  <si>
    <t>KIT DE REPACION DE LA CROCHERA CG150</t>
  </si>
  <si>
    <t>TAPON DE ACEITE HORSE, BERA, TX</t>
  </si>
  <si>
    <t>FILTRO DE ACEITE CG, TX, BERA, HORSE</t>
  </si>
  <si>
    <t>KIT TAPON DE ACEITE, RESORTE Y FILTRO GY6</t>
  </si>
  <si>
    <t>KIT TAPON DE ACEITE, RESORTE Y FILTRO CG</t>
  </si>
  <si>
    <t xml:space="preserve">KIT DE REPARACION DE CALIPER TRASERO TX </t>
  </si>
  <si>
    <t>KIT DE REPARACION DE CALIPER DELANTERO BERA</t>
  </si>
  <si>
    <t>KIT DE REPARACION DE CALIPER DELANTERO BERA, HORSE, TX, EXPRESS, MD</t>
  </si>
  <si>
    <t>KIT DE REPARACION DE CALIPER DELANTERO DE OWEN, SPEED, GN</t>
  </si>
  <si>
    <t>CARROSERIA</t>
  </si>
  <si>
    <t>SEGURO DE TAPAS LATERALES DE HORSE I-II</t>
  </si>
  <si>
    <t>GENERAL</t>
  </si>
  <si>
    <t>CALIPER</t>
  </si>
  <si>
    <t>TRASERO TX</t>
  </si>
  <si>
    <t>DELANTERO HORSE</t>
  </si>
  <si>
    <t>DELANTERO BERA</t>
  </si>
  <si>
    <t>DELANTERO MD, EXPRESS</t>
  </si>
  <si>
    <t>TRASERO SPEED 200</t>
  </si>
  <si>
    <t>DELANTERO TX</t>
  </si>
  <si>
    <t>GUARDAFANGO</t>
  </si>
  <si>
    <t>DELANTERO SBR COLORES VARIOS</t>
  </si>
  <si>
    <t>DELANTERO SBR AZUL CELESTE</t>
  </si>
  <si>
    <t>DELANTERO TX COLORES VARIOS</t>
  </si>
  <si>
    <t>DELANTERO NEW HORSE COLORES VARIOS</t>
  </si>
  <si>
    <t>DELANTERO SPEED COLORES VARIOS</t>
  </si>
  <si>
    <t>DELANTERO OWEN COLORES VARIOS</t>
  </si>
  <si>
    <t>DELANTERO MD COLORES VARIOS</t>
  </si>
  <si>
    <t>DELANTERO CG METALICO</t>
  </si>
  <si>
    <t>TRASERO SBR COLORES VARIOS</t>
  </si>
  <si>
    <t>TRASERO SBR AZUL CELESTE</t>
  </si>
  <si>
    <t>TRASERO MD COLORES VARIOS</t>
  </si>
  <si>
    <t>TRASERO OWEN COLORES VARIOS</t>
  </si>
  <si>
    <t>TRASERO CG METALICO</t>
  </si>
  <si>
    <t>DELANTERO MITSHOSUKY</t>
  </si>
  <si>
    <t>DELANTERO HORSE II COLORES VARIOS</t>
  </si>
  <si>
    <t>DELANTERO HORSE I COLORES VARIOS</t>
  </si>
  <si>
    <t>DELANTERO ARCEN II</t>
  </si>
  <si>
    <t>DELANTERO DT BERA 200</t>
  </si>
  <si>
    <t>TRASERO NEW HORSE</t>
  </si>
  <si>
    <t>TRASERO HORSE I</t>
  </si>
  <si>
    <t xml:space="preserve">TRASERO HORSE II </t>
  </si>
  <si>
    <t xml:space="preserve">TRASERO TX </t>
  </si>
  <si>
    <t xml:space="preserve">TRASERO SPEED </t>
  </si>
  <si>
    <t>TRASERO MITSHOZUKY</t>
  </si>
  <si>
    <t>TRASERO INTERNO BERA</t>
  </si>
  <si>
    <t>TRASERO ARCEN II</t>
  </si>
  <si>
    <t>TRASERO DT BERA 200</t>
  </si>
  <si>
    <t>KIT AX 100</t>
  </si>
  <si>
    <t>KIT GN 125</t>
  </si>
  <si>
    <t>R 60 00</t>
  </si>
  <si>
    <t>R 60 01</t>
  </si>
  <si>
    <t>RH K21 10</t>
  </si>
  <si>
    <r>
      <t xml:space="preserve">R 15 23 12 </t>
    </r>
    <r>
      <rPr>
        <b/>
        <sz val="11"/>
        <color rgb="FFFF0000"/>
        <rFont val="Calibri"/>
        <family val="2"/>
        <scheme val="minor"/>
      </rPr>
      <t>AGUJA</t>
    </r>
  </si>
  <si>
    <r>
      <t xml:space="preserve">R 15 12 </t>
    </r>
    <r>
      <rPr>
        <b/>
        <sz val="11"/>
        <color rgb="FFFF0000"/>
        <rFont val="Calibri"/>
        <family val="2"/>
        <scheme val="minor"/>
      </rPr>
      <t>AGUJA</t>
    </r>
  </si>
  <si>
    <r>
      <t xml:space="preserve">R 10 10 </t>
    </r>
    <r>
      <rPr>
        <b/>
        <sz val="11"/>
        <color rgb="FFFF0000"/>
        <rFont val="Calibri"/>
        <family val="2"/>
        <scheme val="minor"/>
      </rPr>
      <t>AGUJA</t>
    </r>
  </si>
  <si>
    <r>
      <t xml:space="preserve">R 63 28  72 </t>
    </r>
    <r>
      <rPr>
        <b/>
        <sz val="11"/>
        <color rgb="FFFF0000"/>
        <rFont val="Calibri"/>
        <family val="2"/>
        <scheme val="minor"/>
      </rPr>
      <t>PISTA GRUESA</t>
    </r>
  </si>
  <si>
    <t>R 63 28</t>
  </si>
  <si>
    <t>R 63 03</t>
  </si>
  <si>
    <t>R 63 02</t>
  </si>
  <si>
    <t>R 63 01</t>
  </si>
  <si>
    <t>R 6 29</t>
  </si>
  <si>
    <t>R 62 05</t>
  </si>
  <si>
    <t>R 62 04</t>
  </si>
  <si>
    <t>R 62 01</t>
  </si>
  <si>
    <t>R 6 09</t>
  </si>
  <si>
    <t>R 6 08</t>
  </si>
  <si>
    <t>R 6 07</t>
  </si>
  <si>
    <t>R 60 05</t>
  </si>
  <si>
    <t>R 60 04</t>
  </si>
  <si>
    <t>R 60 03</t>
  </si>
  <si>
    <t>R 60 02</t>
  </si>
  <si>
    <t>R 62 02</t>
  </si>
  <si>
    <t>R 62 03</t>
  </si>
  <si>
    <t>DIESEL 50 SELLADO</t>
  </si>
  <si>
    <t>20 50 SEMISINTETICO API SN IPONE 4T</t>
  </si>
  <si>
    <t>20 50 MINERAL MOTUL 3000 4T</t>
  </si>
  <si>
    <t>20 50 SEMISINTETICO MOTUL 5000 4T</t>
  </si>
  <si>
    <t>15 50 SEMINSINTECTICO MOTUL 5100 4T</t>
  </si>
  <si>
    <t>20 50 SINTETICO MOTUL 7100 4T</t>
  </si>
  <si>
    <t xml:space="preserve">20 50 API SL ENGINE OUMURS1 4T </t>
  </si>
  <si>
    <t>20 50 5G ALDRICH 4T</t>
  </si>
  <si>
    <t xml:space="preserve">25 60 API SN QUALI GUARD 4T </t>
  </si>
  <si>
    <r>
      <t xml:space="preserve">25 60 API SN VIELOIL 4T </t>
    </r>
    <r>
      <rPr>
        <b/>
        <sz val="11"/>
        <color rgb="FFFF0000"/>
        <rFont val="Calibri"/>
        <family val="2"/>
        <scheme val="minor"/>
      </rPr>
      <t>LATA</t>
    </r>
  </si>
  <si>
    <t xml:space="preserve">25 60 API SN BENF CLASSIC 4T </t>
  </si>
  <si>
    <t xml:space="preserve">20 50 API SN MINERAL QUALI GUARD </t>
  </si>
  <si>
    <t xml:space="preserve">20 50 API SL/CF BENZOL </t>
  </si>
  <si>
    <t>20 50 SINTETICO API SN MOTORPOWER 3000</t>
  </si>
  <si>
    <t xml:space="preserve">20 50 API SL AUTOASIA </t>
  </si>
  <si>
    <t xml:space="preserve">15 40 API SN SEMISINTETICO TITEX </t>
  </si>
  <si>
    <t>15 40 API SL MINERAL TITEX</t>
  </si>
  <si>
    <t xml:space="preserve">20 50 API SL MULTIGRADO MAXILUB </t>
  </si>
  <si>
    <t>2T API TB ECONOMICO</t>
  </si>
  <si>
    <t>2T API TC ESPECIAL</t>
  </si>
  <si>
    <t xml:space="preserve">20 50 API SL TWOM 4T </t>
  </si>
  <si>
    <t>20 50 4T ECONOMICO</t>
  </si>
  <si>
    <t>15 40 API SN/CF SEMISINTETICO BENZOL</t>
  </si>
  <si>
    <t>SPRAY</t>
  </si>
  <si>
    <t>PINTURA COLORES VARIOS</t>
  </si>
  <si>
    <t>PINTURA ALTA TEMPERATURA COLORES VARIOS</t>
  </si>
  <si>
    <t>LIGA DE FRENOS DOT4</t>
  </si>
  <si>
    <t>LIGA DE FRENOS DOT3</t>
  </si>
  <si>
    <t>ACEITE PARA BASTONES (SOLO PARA UNO) 125 ML</t>
  </si>
  <si>
    <t>CAMARA</t>
  </si>
  <si>
    <t>TX CON MARTILLERA Y TAPA VALVULAS</t>
  </si>
  <si>
    <t>HJ COOL COMPLETA (MARTILLOS Y ARBOL DE LEVA)</t>
  </si>
  <si>
    <t>GN COMPLETA (MARTILLO Y ARBOL DE LEVA)</t>
  </si>
  <si>
    <t>HORSE Y CG SENCILLA SOLA</t>
  </si>
  <si>
    <t>AUTOMATICA GY6 SOLA</t>
  </si>
  <si>
    <t>CG 200 SOLA SIN RESORTE Y SIN VALVULAS</t>
  </si>
  <si>
    <t>DT BERA 200 SOLA SIN ARBOL DE LEVA NI MARTILLERA</t>
  </si>
  <si>
    <t>TAPA VALVULA DE CAMARA</t>
  </si>
  <si>
    <t>ELECTRICOS</t>
  </si>
  <si>
    <t>SILICONA AUTOMOTRIZ ABRILLANTADOR MERCURY (FRESA, UVA, MANZANA, SIN OLOR)</t>
  </si>
  <si>
    <t>ANILLOS</t>
  </si>
  <si>
    <t>CG200 STD (TX 200) ECONÒMICO</t>
  </si>
  <si>
    <t xml:space="preserve">CG200 STD (TX 200) CLASE A DE PISTON </t>
  </si>
  <si>
    <t>CG150 0.25 SOBREMEDIDA CLASE A DE PISTON</t>
  </si>
  <si>
    <t>CG200 0.50 SOBREMEDIDA CLASE A DE PISTON</t>
  </si>
  <si>
    <t>HORSE STD DE PISTON ECONOMICO</t>
  </si>
  <si>
    <t>HORSE STD CLASE A DE PISTON</t>
  </si>
  <si>
    <t>BERA STD CLASE A DE PISTON</t>
  </si>
  <si>
    <t xml:space="preserve">BERA 200 ESPECIAL STD PISTON OVALADO </t>
  </si>
  <si>
    <t>UM 200 STD CLASE A DE PISTON</t>
  </si>
  <si>
    <t>CG200 (TX) 1.0 SOBREMEDIDA ESPECIAL DE PISTON</t>
  </si>
  <si>
    <t>CG150 STD CLASE A DE PISTON</t>
  </si>
  <si>
    <t>BERA 0.50 SOBREMEDIDA DE PISTON</t>
  </si>
  <si>
    <t>BERA R1 STD CLASE A DE PISTON</t>
  </si>
  <si>
    <t>CG150 0.50 CLASE A SOBREMEDIDA DE PISTON</t>
  </si>
  <si>
    <t>GY6 150 AUTOMATICA STD DE PISTON</t>
  </si>
  <si>
    <t>OWEN 2014 GS STD DE PISTON</t>
  </si>
  <si>
    <t>COCHINITOS</t>
  </si>
  <si>
    <t>HORSE, TX, OWEN SIN CABLES</t>
  </si>
  <si>
    <t>GY6 150 CON CABLES Y ENCHUFE</t>
  </si>
  <si>
    <t>CG, MD, BERA, JAGUAR CON CABLES Y TERMINALES</t>
  </si>
  <si>
    <r>
      <t xml:space="preserve">BERA, CG, MD, JAGUAR </t>
    </r>
    <r>
      <rPr>
        <b/>
        <sz val="11"/>
        <color rgb="FFFF0000"/>
        <rFont val="Calibri"/>
        <family val="2"/>
        <scheme val="minor"/>
      </rPr>
      <t xml:space="preserve">ALDRICH </t>
    </r>
    <r>
      <rPr>
        <sz val="11"/>
        <rFont val="Calibri"/>
        <family val="2"/>
        <scheme val="minor"/>
      </rPr>
      <t>CON CABLES</t>
    </r>
  </si>
  <si>
    <t>CDI</t>
  </si>
  <si>
    <t>BERA, CG, MD, JAGUAR</t>
  </si>
  <si>
    <t>HORSE, TX,OWEN</t>
  </si>
  <si>
    <t xml:space="preserve">CDI </t>
  </si>
  <si>
    <t>BOBINA</t>
  </si>
  <si>
    <t>DE ALTA OWEN 2014</t>
  </si>
  <si>
    <t>DE ALTA RACING CG 150, HORSE, BERA, TX</t>
  </si>
  <si>
    <t>DE ALTA CG 150, HORSE, BERA, TX NEGRA</t>
  </si>
  <si>
    <t>GALLETA</t>
  </si>
  <si>
    <t>REGULADOR CLASE A DE HORSE, 5 CABLES</t>
  </si>
  <si>
    <t>OWEN GS 2014</t>
  </si>
  <si>
    <t>GN 125</t>
  </si>
  <si>
    <t>REGULADOR RECTIFICADOR GY6 DE ENCHUFE DE 6 PINES</t>
  </si>
  <si>
    <t>REGULADOR RECTIFICADOR GN 125</t>
  </si>
  <si>
    <t>REGULADOR RECTIFICADOR DE OWEN GS 2014</t>
  </si>
  <si>
    <t>REGULADOR RECTIFICADOR DE TX, HORSE II</t>
  </si>
  <si>
    <t>REGULADOR RECTIFICADOR OUTLOOK ELECTRICO 5 PINES</t>
  </si>
  <si>
    <t>REGULADOR RECTIFICADOR DE GY6 DE ENCHUFE 7 PINES DE CABLES</t>
  </si>
  <si>
    <t>DE VOLANTE DE OUTLOOK</t>
  </si>
  <si>
    <t>DE VOLANTE DE OWEN</t>
  </si>
  <si>
    <t>DE VOLANTE DE TX</t>
  </si>
  <si>
    <t>DE VOLANTE DE GN</t>
  </si>
  <si>
    <t>LUCES</t>
  </si>
  <si>
    <t>FLASH DE CRUCE DE HORSE, BERA, TX</t>
  </si>
  <si>
    <t>RK 200 ENCHUFE 4 PINES</t>
  </si>
  <si>
    <t>LIMITADOR DE HORSE MOSUKI ECONOMICO</t>
  </si>
  <si>
    <t>RACING DE BERA</t>
  </si>
  <si>
    <t>BIELA</t>
  </si>
  <si>
    <t>CG 150 MODELO VIEJO</t>
  </si>
  <si>
    <t xml:space="preserve">GY6 150 AUTOMATICA </t>
  </si>
  <si>
    <t>TX 200</t>
  </si>
  <si>
    <t>CG 200</t>
  </si>
  <si>
    <t>GN</t>
  </si>
  <si>
    <t>HORSE Y BERA MODELO NUEVO</t>
  </si>
  <si>
    <t>DT BERA 200</t>
  </si>
  <si>
    <t>UM 200</t>
  </si>
  <si>
    <r>
      <t xml:space="preserve">TX 200 </t>
    </r>
    <r>
      <rPr>
        <b/>
        <sz val="11"/>
        <color rgb="FFFF0000"/>
        <rFont val="Calibri"/>
        <family val="2"/>
        <scheme val="minor"/>
      </rPr>
      <t>ALDRICH</t>
    </r>
  </si>
  <si>
    <r>
      <t xml:space="preserve">CG 150 </t>
    </r>
    <r>
      <rPr>
        <b/>
        <sz val="11"/>
        <color rgb="FFFF0000"/>
        <rFont val="Calibri"/>
        <family val="2"/>
        <scheme val="minor"/>
      </rPr>
      <t>ALDRICH</t>
    </r>
  </si>
  <si>
    <t>ACCESORIOS</t>
  </si>
  <si>
    <t>PECHERA</t>
  </si>
  <si>
    <t>TX COLORES VARIOS</t>
  </si>
  <si>
    <t>TAPA CADENA</t>
  </si>
  <si>
    <t>HORSE COMPLETO COLOR GRIS</t>
  </si>
  <si>
    <t>UNIVERSAL CROMADA SIN MATAPERROS</t>
  </si>
  <si>
    <t>BERA, MD, ESCUDA, JAGUAR COMPLETO TORNASOL</t>
  </si>
  <si>
    <t>PORCENTAJE EXTRA</t>
  </si>
  <si>
    <t>INCREMENTO COSTO</t>
  </si>
  <si>
    <t>UNIVERSAL SENCILLA CON MATAPERROS COLORES VARIOS</t>
  </si>
  <si>
    <t>UNIVERSAL METAL CON MATAPERROS COLORES VARIOS</t>
  </si>
  <si>
    <t>MATAPERRO</t>
  </si>
  <si>
    <t>UNIVERSAL COLORES VARIOS CON SLIDER</t>
  </si>
  <si>
    <t>PARRILLAS</t>
  </si>
  <si>
    <t>TX RIN RAYO REFORZADA PESADA</t>
  </si>
  <si>
    <t>CRISTO</t>
  </si>
  <si>
    <t>TX BASE DE PLACA CON REFLECTOR</t>
  </si>
  <si>
    <t>MANDOS</t>
  </si>
  <si>
    <t>ESCAPES</t>
  </si>
  <si>
    <t>RESONADOR NEGRO POLIMET</t>
  </si>
  <si>
    <t>RESONADOR TORNASOL POLIMET</t>
  </si>
  <si>
    <t>RESONADOR TORNASOL PROTORK RACING</t>
  </si>
  <si>
    <t>RESONADOR CROMADO PROTORK TODAS MIENTEN</t>
  </si>
  <si>
    <t>RESONADOR METRALLETA TORNASOL RACING</t>
  </si>
  <si>
    <t>ESCUDA CROMADA LIVIANA</t>
  </si>
  <si>
    <t>OWEN CROMADA LIVIANA</t>
  </si>
  <si>
    <t>HORSE II CROMADA LIVIANA</t>
  </si>
  <si>
    <t>RESONADOR MORADO BALITA PEQUEÑO</t>
  </si>
  <si>
    <t>RESONADOR TORNASOL BALITA GRANDE</t>
  </si>
  <si>
    <t>DE BERA 200 TORNASOL HUECO GRANDE</t>
  </si>
  <si>
    <t>HORQUILLA</t>
  </si>
  <si>
    <t>DE HORSE CROMADA</t>
  </si>
  <si>
    <t>NKD CROMADA</t>
  </si>
  <si>
    <t>NKD TORNASOL</t>
  </si>
  <si>
    <t>DE SOCIALISTA, MD, JAGUAR TORNASOL</t>
  </si>
  <si>
    <t>PATA DE CAMBIO</t>
  </si>
  <si>
    <t>HORSE Y BERA TORNASOL</t>
  </si>
  <si>
    <t>T</t>
  </si>
  <si>
    <t>PATA DE FRENO</t>
  </si>
  <si>
    <t>HORSE, BERA, EXPRESS TORNASOL</t>
  </si>
  <si>
    <t>DE BERA, HORSE TORNASOL</t>
  </si>
  <si>
    <t>DE BERA SOCIALISTA 150</t>
  </si>
  <si>
    <t>DE BERA 200 CROMADO</t>
  </si>
  <si>
    <t>DE HORSE II CROMADO ECONOMICO</t>
  </si>
  <si>
    <t xml:space="preserve">DE HORSE I CROMADO </t>
  </si>
  <si>
    <t>HORSE II TORNASOL PESADA</t>
  </si>
  <si>
    <t>OWEN TORNASOL PESADA</t>
  </si>
  <si>
    <t>SBR TORNASOL PESADA</t>
  </si>
  <si>
    <t>PAR DECORATIVO 72 RAYOS TORNEADOS DE EXPRESS CON FRENO DE BANDA</t>
  </si>
  <si>
    <t>TRASERO BERA, JAGUAR, MD, ESCUDA, MYSHOSUKI TORNASOL</t>
  </si>
  <si>
    <t>LIGA</t>
  </si>
  <si>
    <t>GOMA NEGRA DE AMARRE GANCHO DE PLASTICO</t>
  </si>
  <si>
    <t>PLANA DE AMARRE COLORES VARIOS</t>
  </si>
  <si>
    <t>REDONDA COLORES VARIOS</t>
  </si>
  <si>
    <r>
      <t xml:space="preserve">NEGRA PARA AMARRAR REFORZADA </t>
    </r>
    <r>
      <rPr>
        <b/>
        <sz val="11"/>
        <color rgb="FFFF0000"/>
        <rFont val="Calibri"/>
        <family val="2"/>
        <scheme val="minor"/>
      </rPr>
      <t>ALDRICH</t>
    </r>
  </si>
  <si>
    <t>CABLES</t>
  </si>
  <si>
    <t>AUTOMOTRIZ #16</t>
  </si>
  <si>
    <t>EXTINTOR</t>
  </si>
  <si>
    <t>AEROSOL DE 500 ML SC</t>
  </si>
  <si>
    <t>AEROSOL DE 580 ML FEDERAL</t>
  </si>
  <si>
    <t>CROCHE</t>
  </si>
  <si>
    <t>DISCOS DE HORSE, BERA, TX, MD</t>
  </si>
  <si>
    <t>PUÑOS</t>
  </si>
  <si>
    <t>DE HORSE, BERA, TX, MD NEGRO</t>
  </si>
  <si>
    <t>DE HORSE, BERA, TX, MD DECORATIVOS COLORES VARIOS</t>
  </si>
  <si>
    <t>GOMA</t>
  </si>
  <si>
    <t>DE PORTACORONA SENCILLA DE HORSE Y BERA (CAUCHO)</t>
  </si>
  <si>
    <t>DE PORTACORONA DE HORSE Y BERA REFORZADA (CAUCHO)</t>
  </si>
  <si>
    <t>DE PORTACORONA DE HORSE Y BERA REFORZADA (SILICON)</t>
  </si>
  <si>
    <t>DE PORTACORONA DE MD (CAUCHO)</t>
  </si>
  <si>
    <t>DE PORTACORONA DE TX</t>
  </si>
  <si>
    <r>
      <t xml:space="preserve">CADENA, PIÑÓN Y CORONA </t>
    </r>
    <r>
      <rPr>
        <b/>
        <sz val="11"/>
        <color rgb="FFFF0000"/>
        <rFont val="Calibri"/>
        <family val="2"/>
        <scheme val="minor"/>
      </rPr>
      <t>ALDRICH</t>
    </r>
    <r>
      <rPr>
        <sz val="11"/>
        <color theme="1"/>
        <rFont val="Calibri"/>
        <family val="2"/>
        <scheme val="minor"/>
      </rPr>
      <t xml:space="preserve"> CLASE A</t>
    </r>
  </si>
  <si>
    <r>
      <t xml:space="preserve">20 50 MULTIGRADO MOTONIC 4T </t>
    </r>
    <r>
      <rPr>
        <b/>
        <sz val="11"/>
        <color rgb="FF002060"/>
        <rFont val="Calibri"/>
        <family val="2"/>
        <scheme val="minor"/>
      </rPr>
      <t>ROSHFRANS</t>
    </r>
  </si>
  <si>
    <t>GRANEL 1 LT ECONOMICO</t>
  </si>
  <si>
    <t>GRANEL 1 LT CHINO CLASE A</t>
  </si>
  <si>
    <t>HORSE CON VALVULAS Y RESORTE CLASE C</t>
  </si>
  <si>
    <t>REMOMEDOR DE PINTURA</t>
  </si>
  <si>
    <t>3W 450 ML EN SPRAY</t>
  </si>
  <si>
    <t>FORMULA MARINA FEDERAL 450 ML EN SPRAY</t>
  </si>
  <si>
    <t>PINTURA FLUORESCENTE COLORES VARIOS</t>
  </si>
  <si>
    <t>ENRROLLADO</t>
  </si>
  <si>
    <t>EMBOBINADO HORSE ALUMINIO 4 CABLES</t>
  </si>
  <si>
    <t>EMBOBINADO HORSE COBRE 4 CABLES</t>
  </si>
  <si>
    <t>EMBOBINADO CG ALUMINIO 5 CABLES</t>
  </si>
  <si>
    <t>EMBOBINADO CG COBRE 5 CABLES</t>
  </si>
  <si>
    <t>EMBOBINADO GY6 AUTOMATICA</t>
  </si>
  <si>
    <t xml:space="preserve">EMBOBINADO DT BERA 200 </t>
  </si>
  <si>
    <t>EMBOBINADO HORSE 100% COBRE LATA 4 CABLES</t>
  </si>
  <si>
    <t>EMBOBINADO CG 100% COBRE LATA 5 CABLES</t>
  </si>
  <si>
    <t>EMBOBINADO DE GN</t>
  </si>
  <si>
    <t>EMBOBINADO DE AX 100 PLATINERA COMPLETO</t>
  </si>
  <si>
    <r>
      <t xml:space="preserve">EMBOBINADO </t>
    </r>
    <r>
      <rPr>
        <b/>
        <sz val="11"/>
        <color rgb="FFFF0000"/>
        <rFont val="Calibri"/>
        <family val="2"/>
        <scheme val="minor"/>
      </rPr>
      <t>ALDRICH</t>
    </r>
    <r>
      <rPr>
        <sz val="11"/>
        <rFont val="Calibri"/>
        <family val="2"/>
        <scheme val="minor"/>
      </rPr>
      <t xml:space="preserve"> 100% COBRE</t>
    </r>
  </si>
  <si>
    <t>ROTULADO</t>
  </si>
  <si>
    <t>DE BERA, SBR, MISHOZUKI, JAGUAR, OWEN, MD TORNASOL</t>
  </si>
  <si>
    <t>DE BERA, SBR, MISHOZUKI, JAGUAR, OWEN, MD PAPEL LIJA</t>
  </si>
  <si>
    <t>DE TANQUES NEGRO PAPEL LIJA, LETRAS CHINAS</t>
  </si>
  <si>
    <t>DE EXPRESS TORNASOL</t>
  </si>
  <si>
    <t>DE TX COLORES VARIOS</t>
  </si>
  <si>
    <t>CINTAS DE RINES</t>
  </si>
  <si>
    <t>DELGADAS COLORES VARIOS</t>
  </si>
  <si>
    <t>MEDIANAS COLORES VARIOS</t>
  </si>
  <si>
    <t>GRANDES COLORES VARIOS</t>
  </si>
  <si>
    <t>SUPERIOR DIBUJOS VARIOS</t>
  </si>
  <si>
    <t>CILINDRO</t>
  </si>
  <si>
    <t>HORSE I, II SPACE VISION</t>
  </si>
  <si>
    <t>BERA SPACE VISION NEGRO</t>
  </si>
  <si>
    <t>HORSE I, II AUTOASIA</t>
  </si>
  <si>
    <t>HORSE I, II MARCA JP, BENF</t>
  </si>
  <si>
    <t>HORSE I, II (PISTON ESPACIAL, CAJA DE LATA) MARCA MEICKY</t>
  </si>
  <si>
    <t>GY6 AUTOMATICA MARCA MARKY</t>
  </si>
  <si>
    <t>GY6 AUTOMATICA MARCA JP</t>
  </si>
  <si>
    <t>TX 200 MARCA BENF</t>
  </si>
  <si>
    <t>DT 200 BERA MARCA MOZUKI</t>
  </si>
  <si>
    <t>GN 125 MARCA OURMURS1</t>
  </si>
  <si>
    <t>GN 125 MARCA MARKY</t>
  </si>
  <si>
    <t>OWEN GS 2014 MARCA AUTOASIA</t>
  </si>
  <si>
    <t>TX 200 MARCA AUTOASIA</t>
  </si>
  <si>
    <t>R1 200 BERA MARCA WH</t>
  </si>
  <si>
    <t>GY6 AUTOMATICA MARCA ALDRICH</t>
  </si>
  <si>
    <t>OWEN 2011 MARCA AMMARK</t>
  </si>
  <si>
    <t>CG 150 MODELO VIEJO VARIAS MARCAS ECONOMICO</t>
  </si>
  <si>
    <r>
      <t xml:space="preserve">CG 150 MODELO VIEJO </t>
    </r>
    <r>
      <rPr>
        <b/>
        <sz val="11"/>
        <color rgb="FFFF0000"/>
        <rFont val="Calibri"/>
        <family val="2"/>
        <scheme val="minor"/>
      </rPr>
      <t>(300)</t>
    </r>
    <r>
      <rPr>
        <sz val="11"/>
        <color theme="1"/>
        <rFont val="Calibri"/>
        <family val="2"/>
        <scheme val="minor"/>
      </rPr>
      <t xml:space="preserve"> MARCA BENF</t>
    </r>
  </si>
  <si>
    <t>CAJA</t>
  </si>
  <si>
    <t>UM 200 MARCA AUTOASIA</t>
  </si>
  <si>
    <t>GY6 AUTOMATICA COMPLETA MARCA SPACE VISION</t>
  </si>
  <si>
    <t>TX 200 MARCA JP</t>
  </si>
  <si>
    <t>TX 200 MARCA MARKY</t>
  </si>
  <si>
    <t>TX 200 MARCA SPACE VISION</t>
  </si>
  <si>
    <t>GN 125 MARCA AUTOASIA</t>
  </si>
  <si>
    <t>AX 100 MARCA AMMARK</t>
  </si>
  <si>
    <t>AX 100 STD DE PISTON</t>
  </si>
  <si>
    <t>CG 150 DE LATA MARCA MARKY</t>
  </si>
  <si>
    <t>CG 150 MARCA SPACE VISION</t>
  </si>
  <si>
    <t>CG 150 MARCA JP</t>
  </si>
  <si>
    <r>
      <t xml:space="preserve">CG 150 MARCA </t>
    </r>
    <r>
      <rPr>
        <b/>
        <sz val="11"/>
        <color rgb="FFFF0000"/>
        <rFont val="Calibri"/>
        <family val="2"/>
        <scheme val="minor"/>
      </rPr>
      <t>ALDRICH</t>
    </r>
  </si>
  <si>
    <t>CG 150 MARCA MAPACHE</t>
  </si>
  <si>
    <t>BERA 150 MARCA BENF</t>
  </si>
  <si>
    <t>CG 200 CLASE A MARCA XION LIN FENG</t>
  </si>
  <si>
    <r>
      <t xml:space="preserve">OWEN 2011 COMPATIBLE CON ARSEN 150 MARCA </t>
    </r>
    <r>
      <rPr>
        <b/>
        <sz val="11"/>
        <color rgb="FFFF0000"/>
        <rFont val="Calibri"/>
        <family val="2"/>
        <scheme val="minor"/>
      </rPr>
      <t>ALDRICH</t>
    </r>
  </si>
  <si>
    <t>FRENO</t>
  </si>
  <si>
    <t>D8TC PUNTA DIAMANTE ECONOMICA</t>
  </si>
  <si>
    <t>BAJO COSTO</t>
  </si>
  <si>
    <t>COSTO USDT</t>
  </si>
  <si>
    <t>TASA ACTUAL BCV</t>
  </si>
  <si>
    <t>SECUNDARIOS</t>
  </si>
  <si>
    <t>VENTA BS(USDT)</t>
  </si>
  <si>
    <t>TASA ACTUAL USDT</t>
  </si>
  <si>
    <t>GRASA DE POTE DE 20 GRS PARA RODAMIENTO</t>
  </si>
  <si>
    <t>GRASA DE POTE DE 40 GRS PARA RODAMIENTO</t>
  </si>
  <si>
    <t>GRASA DE 250 GRS HI-TEMP CREASE MARCA AMMARK</t>
  </si>
  <si>
    <t>GRASA DE SOBRE DE 10 GRS PARA RODAMIENTO MARCA AMMARK</t>
  </si>
  <si>
    <t>GRASA DE 400 GRS EN TUBO MARCKY CREASE PARA RODAMIENTO</t>
  </si>
  <si>
    <t>GRASA 200 GRS EN LATA MARCA IST PARA RODAMIENTO CLASE A</t>
  </si>
  <si>
    <t>GRASA 1 KG MARCA TITEX MULTIUSO</t>
  </si>
  <si>
    <t>PASTILLAS</t>
  </si>
  <si>
    <t>DELANTERAS DE FRENO DE RKV 200 MARCA MOZUKI</t>
  </si>
  <si>
    <t>DE FRENO DE HORSE I, II MARCA SPACE VISION</t>
  </si>
  <si>
    <t>DE FRENO DE HORSE I, II MARCA MOZUKI</t>
  </si>
  <si>
    <t>TRASERA DE FRENO DE TX MARCA MOBILE</t>
  </si>
  <si>
    <t>DELANTERA DE FRENO DE DT 200, LECHUZA MARCA MEICKY</t>
  </si>
  <si>
    <t>DELANTERAS DE FRENO DE GN Y OWEN 150 MARCA PALMIMOTO</t>
  </si>
  <si>
    <t>DELANTERAS DE FRENO DE HORSE I, II MARCA AUTOASIA</t>
  </si>
  <si>
    <t>DELANTERAS DE FRENO DE HORSE I, II MARCA BENF</t>
  </si>
  <si>
    <t>DELANTERAS DE FRENO DE GN Y OWEN 150 MARCA AMMARK</t>
  </si>
  <si>
    <t>DELANTERAS DE BERA MARCA JP</t>
  </si>
  <si>
    <t>DELANTERAS DE EXPRESS Y JAGUAR MARCA AMMARK</t>
  </si>
  <si>
    <t>DELANTERAS DE CERAMICA DE BERA MARCA PRIMIUM</t>
  </si>
  <si>
    <t>TRASERA DE FRENO DE CERAMICA DE TX MARCA AMMARK PRIMUM</t>
  </si>
  <si>
    <t>DELANTERAS DE CERAMICA DE EXPRESS Y JAGUAR MARCA AMMARK PRIMUM</t>
  </si>
  <si>
    <t>POSAPIES</t>
  </si>
  <si>
    <t>DELANTEROS DE HORSE I MARCA FOX COLORES VARIOS</t>
  </si>
  <si>
    <t>DELANTEROS DE HORSE I Y CG SENCILLOS COLORES VARIOS</t>
  </si>
  <si>
    <t>DELANTEROS DE CG, BERA PROTAPER COLORES VARIOS</t>
  </si>
  <si>
    <t>DELANTEROS DE CG Y BERA NEGROS SENCILLO</t>
  </si>
  <si>
    <t>TRASEROS DE CG, BERA Y OWEN SENCILLO COLORES VARIOS</t>
  </si>
  <si>
    <t>TRASEROS DE HORSE I SENCILLO COLORES VARIOS</t>
  </si>
  <si>
    <t>TRASEROS DE HORSE I, II REFORZADO NEGRO</t>
  </si>
  <si>
    <t>ROMPEDIENTES</t>
  </si>
  <si>
    <t>DE LED COLORES VARIOS</t>
  </si>
  <si>
    <t>AJUSTABLE COLORES VARIOS</t>
  </si>
  <si>
    <t>SENCILLO COLORES VARIOS</t>
  </si>
  <si>
    <t>GY6 150, TX VERSION GRANDE, ELECTRICO</t>
  </si>
  <si>
    <t>HORSE I, II, BERA, TX, VERSION PREMIUM MARCA AMMARK</t>
  </si>
  <si>
    <t>COLITA DE PATO</t>
  </si>
  <si>
    <t>DE EXPRESS, SBR, BTR, SENCIILA COLOR NEGRO</t>
  </si>
  <si>
    <t>DE EXPRESS, SBR, BTR, REFORZADO COLOR NEGRO</t>
  </si>
  <si>
    <t>TAPA SUICHERA</t>
  </si>
  <si>
    <t>DE HORSE I Y BERA COLORES VARIOS</t>
  </si>
  <si>
    <t>DE BERA SOCIALISTA COLORES VARIOS</t>
  </si>
  <si>
    <t>DE HORSE I COLORES VARIOS</t>
  </si>
  <si>
    <t>DE HORSE I NEGRO</t>
  </si>
  <si>
    <t>DE BERA SOCIALISTA NEGRO</t>
  </si>
  <si>
    <t>DE ESPRESS, SBR, BTR, SENCILLA COLORES VARIOS</t>
  </si>
  <si>
    <t>DE HORSE I Y BERA COLOR NEGRO</t>
  </si>
  <si>
    <t>DE OWEN COLORES VARIOS</t>
  </si>
  <si>
    <t>DE OWEN COLOR NEGRO</t>
  </si>
  <si>
    <t>NEW HORSE NEGRA</t>
  </si>
  <si>
    <t>NEW HORSE COLORES VARIOS</t>
  </si>
  <si>
    <t>MD COLOR NEGRO</t>
  </si>
  <si>
    <t>MD COLORES VARIOS</t>
  </si>
  <si>
    <t>GY6 150 AUTOMATICA STD CLASE A DE PISTON</t>
  </si>
  <si>
    <t>OWEN 2014 GS STD CLASE A DE PISTON</t>
  </si>
  <si>
    <t xml:space="preserve">DE CADENA EN SPRAY MOZUKI 450 ML </t>
  </si>
  <si>
    <t>CUENTA KILOMETRO TX RIN DE RAYO</t>
  </si>
  <si>
    <t>CUENTA KILOMETRO TX RIN DE PALETA</t>
  </si>
  <si>
    <t>DR 650 XT 600 BASTON 41 64 11 MARCA AUTOASIA</t>
  </si>
  <si>
    <t>DE VOLANTE DE BERA DT 200, LECHUZA, TIGRITO</t>
  </si>
  <si>
    <t>17 CG CROMADO (SIN BORDE)</t>
  </si>
  <si>
    <t xml:space="preserve">14 HORSE NEGRO </t>
  </si>
  <si>
    <t>14 CG CROMADO (SIN BORDE)</t>
  </si>
  <si>
    <t>15 CG CROMADO (SIN BORDE)</t>
  </si>
  <si>
    <t>16 CG CROMADO (SIN BORDE)</t>
  </si>
  <si>
    <t>KIT DE RESORTE DE CAMARA, ARANDELA Y CUÑA DE OWEN 2014 Y GN</t>
  </si>
  <si>
    <t>KIT DE RESORTE CAMARA, ARANDELA Y CUÑA DE HORSE, BERA, TX, CG</t>
  </si>
  <si>
    <t>KIT DE RESORTE DE CAMARA, ARANDELA Y CUÑA DE GY6</t>
  </si>
  <si>
    <t>MARTILLERAS</t>
  </si>
  <si>
    <t>REFORZADA DE HORSE, BERA, TX CLASE A</t>
  </si>
  <si>
    <t>REFORZADA DE HORSE, BERA, TX CLASE C</t>
  </si>
  <si>
    <t>SENCILLA DE HORSE, BERA, TX CLASE C</t>
  </si>
  <si>
    <t>BATERIA</t>
  </si>
  <si>
    <t>YT4L-BS 12V4AH PEQUEÑA</t>
  </si>
  <si>
    <t>12N6.5-BS 12V6.5AH BERA, SBR, BTR, JAGUAR</t>
  </si>
  <si>
    <t>12N7A-BS  12V7AH TX, OUTLOOK</t>
  </si>
  <si>
    <t>12N7B-BS 12V7AH HORSE</t>
  </si>
  <si>
    <t>12N9-BS 12V7AH OWEN Y GN</t>
  </si>
  <si>
    <t xml:space="preserve">YTX9-BS 12V9AH DR 650, XT 600 </t>
  </si>
  <si>
    <t>12N7L-BS 12V7AH GY6 AUTOMATICA</t>
  </si>
  <si>
    <t>FARO DE BERA NORMAL</t>
  </si>
  <si>
    <t>FARO DE BERA LED</t>
  </si>
  <si>
    <t>FARO DE HORSE I LED</t>
  </si>
  <si>
    <t>FARO DE HORSE I NORMAL</t>
  </si>
  <si>
    <t>FARO DE OWEN NORMAL</t>
  </si>
  <si>
    <t>FARO DE OWEN LED</t>
  </si>
  <si>
    <t>FARO DE EK-EXPRESS NORMAL</t>
  </si>
  <si>
    <t>FARO DE SBR LED</t>
  </si>
  <si>
    <t>FARO DE TX NORMAL</t>
  </si>
  <si>
    <t xml:space="preserve">FARO DE HORSE II </t>
  </si>
  <si>
    <t>FARO DE MD NORMAL</t>
  </si>
  <si>
    <t>FARO DE MD LED</t>
  </si>
  <si>
    <t>FARO DE ARSEN II</t>
  </si>
  <si>
    <t>STOP DE BERA</t>
  </si>
  <si>
    <t>STOP DE OWEN</t>
  </si>
  <si>
    <t>STOP DE OWEN LED</t>
  </si>
  <si>
    <t>STOP DE CONDOR</t>
  </si>
  <si>
    <t>STOP DE RKV Y ARSEN II</t>
  </si>
  <si>
    <t>STOP DE HORSE II</t>
  </si>
  <si>
    <t>STOP DE BERA LED</t>
  </si>
  <si>
    <t>STOP DE HORSE LED</t>
  </si>
  <si>
    <t>CORREAS</t>
  </si>
  <si>
    <t>743 20 30 MARCA XUNQI CLASE A</t>
  </si>
  <si>
    <t>842 20 30 DRIVE TRAP</t>
  </si>
  <si>
    <t>835 20 30 SPEEDWAY</t>
  </si>
  <si>
    <t>842 20 30 MARCA BENF CLASE A</t>
  </si>
  <si>
    <t>906 22.5 30 MARCA MEICKY CLASE C</t>
  </si>
  <si>
    <t>842 20 30 MARCA SPACE VISION</t>
  </si>
  <si>
    <t>BASE DE FARO</t>
  </si>
  <si>
    <t>BERA</t>
  </si>
  <si>
    <t>OWEN</t>
  </si>
  <si>
    <t>EK EXPRESS</t>
  </si>
  <si>
    <t>MD</t>
  </si>
  <si>
    <t>MICA DE FARO DE BERA</t>
  </si>
  <si>
    <t>MICA DE FARO MD</t>
  </si>
  <si>
    <t>MICA DE FARO DE OWEN, EK EXPRESS</t>
  </si>
  <si>
    <t>MICA DE FARO DE HORSE</t>
  </si>
  <si>
    <t>CARETA DE FARO</t>
  </si>
  <si>
    <t>DE HORSE II ROJO</t>
  </si>
  <si>
    <t>DE HORSE II NEGRO</t>
  </si>
  <si>
    <t>DE HORSE II AZUL</t>
  </si>
  <si>
    <r>
      <t xml:space="preserve">DE CRUCE LED </t>
    </r>
    <r>
      <rPr>
        <b/>
        <sz val="11"/>
        <color rgb="FFFF0000"/>
        <rFont val="Calibri"/>
        <family val="2"/>
        <scheme val="minor"/>
      </rPr>
      <t>PAR</t>
    </r>
    <r>
      <rPr>
        <sz val="11"/>
        <color theme="1"/>
        <rFont val="Calibri"/>
        <family val="2"/>
        <scheme val="minor"/>
      </rPr>
      <t xml:space="preserve"> CALAVERA UNIVERSAL AMARILLO Y ROJO</t>
    </r>
  </si>
  <si>
    <r>
      <t xml:space="preserve">DE CRUCE LED </t>
    </r>
    <r>
      <rPr>
        <b/>
        <sz val="11"/>
        <color rgb="FFFF0000"/>
        <rFont val="Calibri"/>
        <family val="2"/>
        <scheme val="minor"/>
      </rPr>
      <t>PAR</t>
    </r>
    <r>
      <rPr>
        <sz val="11"/>
        <color theme="1"/>
        <rFont val="Calibri"/>
        <family val="2"/>
        <scheme val="minor"/>
      </rPr>
      <t xml:space="preserve"> DE TORO JAGUAR, EK EXPRESS II</t>
    </r>
  </si>
  <si>
    <r>
      <t xml:space="preserve">DE CRUCE LED </t>
    </r>
    <r>
      <rPr>
        <b/>
        <sz val="11"/>
        <color rgb="FFFF0000"/>
        <rFont val="Calibri"/>
        <family val="2"/>
        <scheme val="minor"/>
      </rPr>
      <t>PAR</t>
    </r>
    <r>
      <rPr>
        <sz val="11"/>
        <color theme="1"/>
        <rFont val="Calibri"/>
        <family val="2"/>
        <scheme val="minor"/>
      </rPr>
      <t xml:space="preserve"> HORSE I, COLORES VARIOS</t>
    </r>
  </si>
  <si>
    <r>
      <t xml:space="preserve">DE CRUCE LED </t>
    </r>
    <r>
      <rPr>
        <b/>
        <sz val="11"/>
        <color rgb="FFFF0000"/>
        <rFont val="Calibri"/>
        <family val="2"/>
        <scheme val="minor"/>
      </rPr>
      <t>PAR</t>
    </r>
    <r>
      <rPr>
        <sz val="11"/>
        <color theme="1"/>
        <rFont val="Calibri"/>
        <family val="2"/>
        <scheme val="minor"/>
      </rPr>
      <t>, UNIVERSAL COLORES VARIOS</t>
    </r>
  </si>
  <si>
    <r>
      <t xml:space="preserve">DE CRUCE LED </t>
    </r>
    <r>
      <rPr>
        <b/>
        <sz val="11"/>
        <color rgb="FFFF0000"/>
        <rFont val="Calibri"/>
        <family val="2"/>
        <scheme val="minor"/>
      </rPr>
      <t>UNIDAD</t>
    </r>
    <r>
      <rPr>
        <sz val="11"/>
        <color theme="1"/>
        <rFont val="Calibri"/>
        <family val="2"/>
        <scheme val="minor"/>
      </rPr>
      <t xml:space="preserve"> DE NEW HORSE AMARILLO</t>
    </r>
  </si>
  <si>
    <r>
      <t xml:space="preserve">DE CRUCE LED </t>
    </r>
    <r>
      <rPr>
        <b/>
        <sz val="11"/>
        <color rgb="FFFF0000"/>
        <rFont val="Calibri"/>
        <family val="2"/>
        <scheme val="minor"/>
      </rPr>
      <t>UNIDAD</t>
    </r>
    <r>
      <rPr>
        <sz val="11"/>
        <color theme="1"/>
        <rFont val="Calibri"/>
        <family val="2"/>
        <scheme val="minor"/>
      </rPr>
      <t xml:space="preserve"> DE NEW HORSE TRANSPARENTE</t>
    </r>
  </si>
  <si>
    <r>
      <t xml:space="preserve">DE CRUCE </t>
    </r>
    <r>
      <rPr>
        <b/>
        <sz val="11"/>
        <color rgb="FFFF0000"/>
        <rFont val="Calibri"/>
        <family val="2"/>
        <scheme val="minor"/>
      </rPr>
      <t>UNIDAD</t>
    </r>
    <r>
      <rPr>
        <sz val="11"/>
        <color theme="1"/>
        <rFont val="Calibri"/>
        <family val="2"/>
        <scheme val="minor"/>
      </rPr>
      <t xml:space="preserve"> MD MODELO VIEJO</t>
    </r>
  </si>
  <si>
    <r>
      <t xml:space="preserve">DE CRUCE </t>
    </r>
    <r>
      <rPr>
        <b/>
        <sz val="11"/>
        <color rgb="FFFF0000"/>
        <rFont val="Calibri"/>
        <family val="2"/>
        <scheme val="minor"/>
      </rPr>
      <t>UNIDAD</t>
    </r>
    <r>
      <rPr>
        <sz val="11"/>
        <color theme="1"/>
        <rFont val="Calibri"/>
        <family val="2"/>
        <scheme val="minor"/>
      </rPr>
      <t xml:space="preserve"> ARSEN II Y HORSE II</t>
    </r>
  </si>
  <si>
    <t>ACCESORIOS PARA MOTORIZADOS</t>
  </si>
  <si>
    <t>BOLSOS</t>
  </si>
  <si>
    <t>DE ESPALDA TIPO MORRAL COLOR VARIOS MARCA HJ FORZA</t>
  </si>
  <si>
    <t>LLAVE DE TANQUE</t>
  </si>
  <si>
    <t xml:space="preserve">DE GASOLINA DE HORSE </t>
  </si>
  <si>
    <t>DE GASOLINA DE OWEN, SPEED, GN</t>
  </si>
  <si>
    <t>DE GASOLINA DE NEW HORSE</t>
  </si>
  <si>
    <t>DE GASOLINA DE CG, BERA, BTR, EK EXPRESS, TX</t>
  </si>
  <si>
    <t>DE GASOLINA DE CG, BERA, BTR, EK EXPRESS, TX CON CERRADURA</t>
  </si>
  <si>
    <t>BOMBAS DE ACEITE</t>
  </si>
  <si>
    <t>CG 200 37 T</t>
  </si>
  <si>
    <t>DE HORSE 39 T</t>
  </si>
  <si>
    <t>DE GY6 AUTOMATICA</t>
  </si>
  <si>
    <t>DE OWEN 2014 Y GN 125</t>
  </si>
  <si>
    <t>DE OWEN 2011, ARSEN II Y BERA CON BALANCEADOR</t>
  </si>
  <si>
    <t>MATRIX ELEGANT Y OUTLOOK</t>
  </si>
  <si>
    <t>DE HJ COOL</t>
  </si>
  <si>
    <t>COPA RECOLECTORA</t>
  </si>
  <si>
    <t>HORSE DE CUÑA</t>
  </si>
  <si>
    <t>CG 200 MOTOR DE BALANCEADOR DE ESTRIAS</t>
  </si>
  <si>
    <t>TX 200, RKV DE CUÑA</t>
  </si>
  <si>
    <t>CG 150 DE ESTRIAS</t>
  </si>
  <si>
    <t>PURIFICADOR</t>
  </si>
  <si>
    <t>CONECTOR CON CARBURADOR DE OWEN 2011</t>
  </si>
  <si>
    <t>CONECTOR CON CARBURADOR DE HORSE</t>
  </si>
  <si>
    <t>CONECTOR CON CARBURADOR DE BERA</t>
  </si>
  <si>
    <t>CARBURADOR</t>
  </si>
  <si>
    <t>BASE RECTA DE CG 150, HORSE, BERA, TX</t>
  </si>
  <si>
    <t>BASE CURVA DE OWEN</t>
  </si>
  <si>
    <t>BASE DE GY6 AUTOMATICA</t>
  </si>
  <si>
    <t>BASE DE DT 200 BERA</t>
  </si>
  <si>
    <t>BASE DE GN 125</t>
  </si>
  <si>
    <t>AX 100 MARCA MOTORPOWER</t>
  </si>
  <si>
    <t>FLOTANTE DE TANQUE</t>
  </si>
  <si>
    <t>DE GASOLINA DE BERA</t>
  </si>
  <si>
    <t>DE HORSE, BERA COLORES VARIOS</t>
  </si>
  <si>
    <t>LUBRICANTES, SELLADORES Y SILICONES</t>
  </si>
  <si>
    <r>
      <t xml:space="preserve">DE CRUCE </t>
    </r>
    <r>
      <rPr>
        <b/>
        <sz val="11"/>
        <color rgb="FFFF0000"/>
        <rFont val="Calibri"/>
        <family val="2"/>
        <scheme val="minor"/>
      </rPr>
      <t>UNIDAD</t>
    </r>
    <r>
      <rPr>
        <sz val="11"/>
        <rFont val="Calibri"/>
        <family val="2"/>
        <scheme val="minor"/>
      </rPr>
      <t xml:space="preserve"> HORSE TRANSPARENTE</t>
    </r>
  </si>
  <si>
    <r>
      <t xml:space="preserve">DE CRUCE </t>
    </r>
    <r>
      <rPr>
        <b/>
        <sz val="11"/>
        <color rgb="FFFF0000"/>
        <rFont val="Calibri"/>
        <family val="2"/>
        <scheme val="minor"/>
      </rPr>
      <t xml:space="preserve">UNIDAD </t>
    </r>
    <r>
      <rPr>
        <sz val="11"/>
        <color theme="1"/>
        <rFont val="Calibri"/>
        <family val="2"/>
        <scheme val="minor"/>
      </rPr>
      <t>HORSE MICA AMARILLA</t>
    </r>
  </si>
  <si>
    <r>
      <t xml:space="preserve">DE CRUCE </t>
    </r>
    <r>
      <rPr>
        <b/>
        <sz val="11"/>
        <color rgb="FFFF0000"/>
        <rFont val="Calibri"/>
        <family val="2"/>
        <scheme val="minor"/>
      </rPr>
      <t xml:space="preserve">UNIDAD </t>
    </r>
    <r>
      <rPr>
        <sz val="11"/>
        <rFont val="Calibri"/>
        <family val="2"/>
        <scheme val="minor"/>
      </rPr>
      <t>OWEN</t>
    </r>
    <r>
      <rPr>
        <sz val="11"/>
        <color theme="1"/>
        <rFont val="Calibri"/>
        <family val="2"/>
        <scheme val="minor"/>
      </rPr>
      <t xml:space="preserve"> 2011 MICA AMARILLA</t>
    </r>
  </si>
  <si>
    <r>
      <t xml:space="preserve">DE CRUCE </t>
    </r>
    <r>
      <rPr>
        <b/>
        <sz val="11"/>
        <color rgb="FFFF0000"/>
        <rFont val="Calibri"/>
        <family val="2"/>
        <scheme val="minor"/>
      </rPr>
      <t xml:space="preserve">UNIDAD </t>
    </r>
    <r>
      <rPr>
        <sz val="11"/>
        <rFont val="Calibri"/>
        <family val="2"/>
        <scheme val="minor"/>
      </rPr>
      <t>GN 125, OWEN 2014</t>
    </r>
    <r>
      <rPr>
        <sz val="11"/>
        <color theme="1"/>
        <rFont val="Calibri"/>
        <family val="2"/>
        <scheme val="minor"/>
      </rPr>
      <t xml:space="preserve"> MICA AMARILLA</t>
    </r>
  </si>
  <si>
    <r>
      <t xml:space="preserve">DE CRUCE </t>
    </r>
    <r>
      <rPr>
        <b/>
        <sz val="11"/>
        <color rgb="FFFF0000"/>
        <rFont val="Calibri"/>
        <family val="2"/>
        <scheme val="minor"/>
      </rPr>
      <t xml:space="preserve">UNIDAD </t>
    </r>
    <r>
      <rPr>
        <sz val="11"/>
        <rFont val="Calibri"/>
        <family val="2"/>
        <scheme val="minor"/>
      </rPr>
      <t>GN 125, OWEN 2014</t>
    </r>
    <r>
      <rPr>
        <sz val="11"/>
        <color theme="1"/>
        <rFont val="Calibri"/>
        <family val="2"/>
        <scheme val="minor"/>
      </rPr>
      <t xml:space="preserve"> MICA TRANSPARENTE</t>
    </r>
  </si>
  <si>
    <t>DE HORSE COLOR NEGRO</t>
  </si>
  <si>
    <t>DE BERA COLOR NEGRO</t>
  </si>
  <si>
    <t>DE SBR COLOR NEGRO</t>
  </si>
  <si>
    <t>DE TX</t>
  </si>
  <si>
    <t>DE EK EXPRESS</t>
  </si>
  <si>
    <t>DE HORSE II, ARSEN II, RKV COLOR NEGRO</t>
  </si>
  <si>
    <t>DE NEW HORSE COLOR NEGRO</t>
  </si>
  <si>
    <t>DE CG 150, JAGUAR, DE METAL</t>
  </si>
  <si>
    <t>DE HORSE I</t>
  </si>
  <si>
    <t>DE OWEN</t>
  </si>
  <si>
    <t>DE CG 150, BERA, MD, JAGUAR</t>
  </si>
  <si>
    <t>DE EK EXPRESS COLOR NEGRO</t>
  </si>
  <si>
    <t>DE LECHUZA, UM, RAPTOR</t>
  </si>
  <si>
    <t>PORTABANDA</t>
  </si>
  <si>
    <t>DE HORSE I, II</t>
  </si>
  <si>
    <t>DE NEW HORSE, ARSEN II</t>
  </si>
  <si>
    <t>DE OWEN Y BERA</t>
  </si>
  <si>
    <t>DE EK EXPRESS, JAGUAR</t>
  </si>
  <si>
    <t>PORTACORONA</t>
  </si>
  <si>
    <t>DE BERA, OWEN, GN</t>
  </si>
  <si>
    <t>DE ARSEN II</t>
  </si>
  <si>
    <t>DE MD, EK EXPRESS</t>
  </si>
  <si>
    <t>DE R1 BERA</t>
  </si>
  <si>
    <t>AMORTIGUADOR</t>
  </si>
  <si>
    <t>DE HORSE I MARCA BENF</t>
  </si>
  <si>
    <t>DE HORSE I MARCA SPACE VISION</t>
  </si>
  <si>
    <t>DE BERA MARCA SPACE VISION</t>
  </si>
  <si>
    <t>DE HORSE I CROMADO EDICION ESPECIAL MARCA MOZUKI</t>
  </si>
  <si>
    <t>UNIVERSAL DE AIRE, COLORES VARIOS, MARCA MARKI</t>
  </si>
  <si>
    <r>
      <t xml:space="preserve">DE HORSE I </t>
    </r>
    <r>
      <rPr>
        <b/>
        <sz val="11"/>
        <color rgb="FFFF0000"/>
        <rFont val="Calibri"/>
        <family val="2"/>
        <scheme val="minor"/>
      </rPr>
      <t>ALDRICH</t>
    </r>
    <r>
      <rPr>
        <sz val="11"/>
        <rFont val="Calibri"/>
        <family val="2"/>
        <scheme val="minor"/>
      </rPr>
      <t xml:space="preserve"> </t>
    </r>
  </si>
  <si>
    <t>DE CG 150, OWEN, GN 125</t>
  </si>
  <si>
    <r>
      <t xml:space="preserve">DE CG 150, OWEN, GN 125 </t>
    </r>
    <r>
      <rPr>
        <b/>
        <sz val="11"/>
        <color rgb="FFFF0000"/>
        <rFont val="Calibri"/>
        <family val="2"/>
        <scheme val="minor"/>
      </rPr>
      <t>OFERTA</t>
    </r>
  </si>
  <si>
    <t>MONOSHOCK DE TX 200</t>
  </si>
  <si>
    <t>DE HORSE I COLOR DORADO</t>
  </si>
  <si>
    <t>DOBLE RESORTE DE BERA, COLORES VARIOS</t>
  </si>
  <si>
    <t>DE CG 150, OWEN, GN 125, COLOR AMARILLO MARCA AMMARK</t>
  </si>
  <si>
    <t>DE GY6 AUTOMATICA MARCA ZHENGKE</t>
  </si>
  <si>
    <t>MOSHOCK DE LECHUZA, DT 200 Y UM</t>
  </si>
  <si>
    <t>MONOSHOCK DE R1 BERA</t>
  </si>
  <si>
    <t>CREMALLERA</t>
  </si>
  <si>
    <t>DE GN 125 MARCA ELITE 3000</t>
  </si>
  <si>
    <t>DE DT BERA MARCA MEICKY</t>
  </si>
  <si>
    <t>DE OWEN GS 2014 MARCA AMMARK</t>
  </si>
  <si>
    <t>GY6 AUTOMATICA (ESTRIAS) MARCA MEIKY</t>
  </si>
  <si>
    <t>GY6 AUTOMATICA (ESTRIAS) MARCA MOZUKI</t>
  </si>
  <si>
    <t>GN 125 MARCA MEICKY</t>
  </si>
  <si>
    <t>CG 150 MARCA BENF</t>
  </si>
  <si>
    <t>CG 150 MARCA AUTOASIA</t>
  </si>
  <si>
    <t>CG 150 MARCA MEICKY</t>
  </si>
  <si>
    <t>CG 150 MARCA MOZUKI</t>
  </si>
  <si>
    <t>CG 200 MARCA MOZUKI</t>
  </si>
  <si>
    <t>CG 200 MARCA BENF</t>
  </si>
  <si>
    <t>CG 200 MARCA JP</t>
  </si>
  <si>
    <t>CROCHERA</t>
  </si>
  <si>
    <t>150 4TORN 73T CON CAMPANA, COMPLETA MARCA AUTOASIA</t>
  </si>
  <si>
    <t>150 4TORN 73T CON CAMPANA, COMPLETA MARCA MVP</t>
  </si>
  <si>
    <t>200 6TORN 70T CON CAMPANA, COMPLETA MARCA MVP</t>
  </si>
  <si>
    <r>
      <t xml:space="preserve">DE GN 125, OWEN 2014, CON CAMPANA, COMPLETA MARCA </t>
    </r>
    <r>
      <rPr>
        <b/>
        <sz val="11"/>
        <color rgb="FFFF0000"/>
        <rFont val="Calibri"/>
        <family val="2"/>
        <scheme val="minor"/>
      </rPr>
      <t>ALDRICH</t>
    </r>
  </si>
  <si>
    <t>CENTRO DE GN 125, OWEN 2014 MARCA MOTOPOWER</t>
  </si>
  <si>
    <t>CAMPANA 70T DE CG 200 MARCA JP</t>
  </si>
  <si>
    <t>CAMPANA 73T CG 150 MARCA AMMARK</t>
  </si>
  <si>
    <t>CENTRO DE 6TORN SIN CAMAPANA 150 Y 200 MARCA MC</t>
  </si>
  <si>
    <t>CENTRO DE 6TORN SIN CAMAPANA 150 Y 200 MARCA SPACE VISION</t>
  </si>
  <si>
    <t>CENTRO DE 4TORN SIN CAMPANA 150 Y 200 MARCA WYH</t>
  </si>
  <si>
    <t>CENTRO DE 5TORN SIN CAMPANA 150 Y 200 MARCA MOZUKI</t>
  </si>
  <si>
    <t>CAMPANA 70T DE CG 200 MARCA AUTOASIA</t>
  </si>
  <si>
    <t>CAMPANA 70T DE CG 200 MARCA MVP</t>
  </si>
  <si>
    <t>150 5TORN 73T CON CAMPANA, COMPLETA MARCA MEGASUKI</t>
  </si>
  <si>
    <t>CAMPANA 70T CG 150 MARCA MEGASUKI</t>
  </si>
  <si>
    <t>CAMPANA 73T 150 MARCA PACEFOX</t>
  </si>
  <si>
    <t>CAMPANA 73T CORONA GRUESA MARCA PACEFOX</t>
  </si>
  <si>
    <t>150 5TORN 73T CON CAMPANA, RACING ESPECIAL, COMPLETA, MARCA BENF</t>
  </si>
  <si>
    <t>150 6TORN 73T CON CAMPANA, COMPLETA, MARCA BENF</t>
  </si>
  <si>
    <t>CAMPANA CG 200 70T MARCA MEICKY</t>
  </si>
  <si>
    <t>CENTRO DE AX 100 SIN CAMPANA 100 MARCA AMMARK</t>
  </si>
  <si>
    <t>CIGÜEÑAL</t>
  </si>
  <si>
    <t>DE GY6 AUTOMTICA MARCA CRANK SHAFT</t>
  </si>
  <si>
    <t>DE GY6 AUTOMATICA MARCA BENF</t>
  </si>
  <si>
    <t>DE GN 125 MARCA MEICKY</t>
  </si>
  <si>
    <t>CG 150 MODELO VIEJO, PASADOR GRUESO MARCA MOTORPOWER</t>
  </si>
  <si>
    <t>CG 150 MODELO VIEJO, PASADOR GRUESO MARCA MOZUKI</t>
  </si>
  <si>
    <t>DE OWEN GS 2014 MARCA MOZUKI</t>
  </si>
  <si>
    <r>
      <t xml:space="preserve">DE TX 200 DE </t>
    </r>
    <r>
      <rPr>
        <b/>
        <sz val="11"/>
        <color rgb="FFFF0000"/>
        <rFont val="Calibri"/>
        <family val="2"/>
        <scheme val="minor"/>
      </rPr>
      <t>ESTRIAS</t>
    </r>
    <r>
      <rPr>
        <sz val="11"/>
        <color theme="1"/>
        <rFont val="Calibri"/>
        <family val="2"/>
        <scheme val="minor"/>
      </rPr>
      <t xml:space="preserve"> MARCA MEICKY</t>
    </r>
  </si>
  <si>
    <r>
      <t xml:space="preserve">DE CG 200 DE </t>
    </r>
    <r>
      <rPr>
        <b/>
        <sz val="11"/>
        <color rgb="FFFF0000"/>
        <rFont val="Calibri"/>
        <family val="2"/>
        <scheme val="minor"/>
      </rPr>
      <t>ESTRIAS</t>
    </r>
    <r>
      <rPr>
        <sz val="11"/>
        <color theme="1"/>
        <rFont val="Calibri"/>
        <family val="2"/>
        <scheme val="minor"/>
      </rPr>
      <t xml:space="preserve"> MARCA MUNDO</t>
    </r>
  </si>
  <si>
    <r>
      <t xml:space="preserve">DE TX 200 Y RKV, 4 </t>
    </r>
    <r>
      <rPr>
        <b/>
        <sz val="11"/>
        <color rgb="FFFF0000"/>
        <rFont val="Calibri"/>
        <family val="2"/>
        <scheme val="minor"/>
      </rPr>
      <t>CUÑAS</t>
    </r>
    <r>
      <rPr>
        <sz val="11"/>
        <color theme="1"/>
        <rFont val="Calibri"/>
        <family val="2"/>
        <scheme val="minor"/>
      </rPr>
      <t xml:space="preserve"> MARCA AUTOASIA</t>
    </r>
  </si>
  <si>
    <r>
      <t xml:space="preserve">DE OWEN 2008, DE </t>
    </r>
    <r>
      <rPr>
        <b/>
        <sz val="11"/>
        <color rgb="FFFF0000"/>
        <rFont val="Calibri"/>
        <family val="2"/>
        <scheme val="minor"/>
      </rPr>
      <t>ESTRIAS</t>
    </r>
    <r>
      <rPr>
        <sz val="11"/>
        <color theme="1"/>
        <rFont val="Calibri"/>
        <family val="2"/>
        <scheme val="minor"/>
      </rPr>
      <t xml:space="preserve"> PASADOR GRUESO MARCA BENF</t>
    </r>
  </si>
  <si>
    <r>
      <t xml:space="preserve">DE OWEN 2011, DE 4 </t>
    </r>
    <r>
      <rPr>
        <b/>
        <sz val="11"/>
        <color rgb="FFFF0000"/>
        <rFont val="Calibri"/>
        <family val="2"/>
        <scheme val="minor"/>
      </rPr>
      <t>CUÑAS,</t>
    </r>
    <r>
      <rPr>
        <sz val="11"/>
        <color theme="1"/>
        <rFont val="Calibri"/>
        <family val="2"/>
        <scheme val="minor"/>
      </rPr>
      <t xml:space="preserve"> PASADOR FINO MARCA MEICKY</t>
    </r>
  </si>
  <si>
    <r>
      <t xml:space="preserve">DE BERA MODELO NUEVO, DE </t>
    </r>
    <r>
      <rPr>
        <b/>
        <sz val="11"/>
        <color rgb="FFFF0000"/>
        <rFont val="Calibri"/>
        <family val="2"/>
        <scheme val="minor"/>
      </rPr>
      <t xml:space="preserve">ESTRIAS </t>
    </r>
    <r>
      <rPr>
        <sz val="11"/>
        <color theme="1"/>
        <rFont val="Calibri"/>
        <family val="2"/>
        <scheme val="minor"/>
      </rPr>
      <t>PASADOR FINO MARCA SPACE VISION</t>
    </r>
  </si>
  <si>
    <r>
      <t xml:space="preserve">DE HORSE MODELO NUEVO, DE </t>
    </r>
    <r>
      <rPr>
        <b/>
        <sz val="11"/>
        <color rgb="FFFF0000"/>
        <rFont val="Calibri"/>
        <family val="2"/>
        <scheme val="minor"/>
      </rPr>
      <t>CUÑA</t>
    </r>
    <r>
      <rPr>
        <sz val="11"/>
        <color theme="1"/>
        <rFont val="Calibri"/>
        <family val="2"/>
        <scheme val="minor"/>
      </rPr>
      <t>, PASADOR FINO MARCA AUTOASIA</t>
    </r>
  </si>
  <si>
    <r>
      <t xml:space="preserve">DE HORSE MODELO NUEVO, DE </t>
    </r>
    <r>
      <rPr>
        <b/>
        <sz val="11"/>
        <color rgb="FFFF0000"/>
        <rFont val="Calibri"/>
        <family val="2"/>
        <scheme val="minor"/>
      </rPr>
      <t>CUÑA</t>
    </r>
    <r>
      <rPr>
        <sz val="11"/>
        <color theme="1"/>
        <rFont val="Calibri"/>
        <family val="2"/>
        <scheme val="minor"/>
      </rPr>
      <t xml:space="preserve"> PASADOR FINO MARCA SPACE VISION</t>
    </r>
  </si>
  <si>
    <r>
      <t xml:space="preserve">DE HORSE MODELO NUEVO, DE </t>
    </r>
    <r>
      <rPr>
        <b/>
        <sz val="11"/>
        <color rgb="FFFF0000"/>
        <rFont val="Calibri"/>
        <family val="2"/>
        <scheme val="minor"/>
      </rPr>
      <t>CUÑA</t>
    </r>
    <r>
      <rPr>
        <sz val="11"/>
        <color theme="1"/>
        <rFont val="Calibri"/>
        <family val="2"/>
        <scheme val="minor"/>
      </rPr>
      <t xml:space="preserve"> PASADOR FINO MARCA MC</t>
    </r>
  </si>
  <si>
    <r>
      <t xml:space="preserve">DE HORSE MODELO VIEJO 2009, DE </t>
    </r>
    <r>
      <rPr>
        <b/>
        <sz val="11"/>
        <color rgb="FFFF0000"/>
        <rFont val="Calibri"/>
        <family val="2"/>
        <scheme val="minor"/>
      </rPr>
      <t>CUÑA</t>
    </r>
    <r>
      <rPr>
        <sz val="11"/>
        <color theme="1"/>
        <rFont val="Calibri"/>
        <family val="2"/>
        <scheme val="minor"/>
      </rPr>
      <t xml:space="preserve"> PASADOR GRUESO MARCA WYH</t>
    </r>
  </si>
  <si>
    <t>VALVULAS</t>
  </si>
  <si>
    <t>DE GY6 AUTOMATICA Y TUCAN 110 MARCA AMMARK</t>
  </si>
  <si>
    <t>EJE DE PRENDER</t>
  </si>
  <si>
    <t xml:space="preserve">DE GY6 AUTOMATICA </t>
  </si>
  <si>
    <t>TAPAS DE ENFRIAMENTO</t>
  </si>
  <si>
    <t>63 22 16 MM DEL CIGÜEÑAL GY6 AUTOMATICA</t>
  </si>
  <si>
    <t>DE GY6 AUTOMATICA, COMPLETA</t>
  </si>
  <si>
    <t>ARBOL DE LEVA</t>
  </si>
  <si>
    <t>DE MATRIX ELENGANT Y OUTLOOK MARCA SPACE VISION</t>
  </si>
  <si>
    <t>RULERA</t>
  </si>
  <si>
    <t>EMBULO DE GY6 AUTOMATICA</t>
  </si>
  <si>
    <t>BANDAS GY6 AUTOMATICA MARCA AMMARK</t>
  </si>
  <si>
    <t>PISTON</t>
  </si>
  <si>
    <t>OUTLOOK STD MARCA MEICKY</t>
  </si>
  <si>
    <t>DISCOS AX 100 MARCA AMMARK</t>
  </si>
  <si>
    <t xml:space="preserve">BARRA DE HORSE I, COMPLETO (TORNILLO, RESORTE, PATA) </t>
  </si>
  <si>
    <t>BARRA DE HORSE II, COMPLETO (TORNILLO, RESORTE, PATA)</t>
  </si>
  <si>
    <t>BARRA DE BERA, SOLA</t>
  </si>
  <si>
    <t>BARRA DE BERA COMPLETO (TORNILLO, RESORTE, PATA)</t>
  </si>
  <si>
    <t>BARRA DE EK EXPRESS COMPLETO (TORNILLO, RESORTE, PATA)</t>
  </si>
  <si>
    <t>BARRA DE OWEN SOLA</t>
  </si>
  <si>
    <t>DE HJ COOL MARCA TWOM</t>
  </si>
  <si>
    <t>DE MATRIX ELEGANCE</t>
  </si>
  <si>
    <t>DE MATRIX ELEGANCE (CUÑA) MARCA MC</t>
  </si>
  <si>
    <t>DE MATRIX ELEGANCE Y OUTLOOK MARCA MEICKY</t>
  </si>
  <si>
    <t>VISERAS</t>
  </si>
  <si>
    <t>DECORATIVAS PARA EL FARO DE BERA COLORES VARIOS</t>
  </si>
  <si>
    <t>DE HORSE I AZUL</t>
  </si>
  <si>
    <t>DE HORSE I ROJO</t>
  </si>
  <si>
    <t>CASCO</t>
  </si>
  <si>
    <t>PROTECTOR</t>
  </si>
  <si>
    <t>DE ROMPEDIENTES MARCA PROTAPER</t>
  </si>
  <si>
    <t>DE ROMPEDIENTES MARCA MONSTER</t>
  </si>
  <si>
    <t>DE ROMPEDIENTES Y PARRILLA PROTAPER</t>
  </si>
  <si>
    <r>
      <t xml:space="preserve">DE CRUCE LED </t>
    </r>
    <r>
      <rPr>
        <b/>
        <sz val="11"/>
        <color rgb="FFFF0000"/>
        <rFont val="Calibri"/>
        <family val="2"/>
        <scheme val="minor"/>
      </rPr>
      <t>UNIDAD</t>
    </r>
    <r>
      <rPr>
        <sz val="11"/>
        <rFont val="Calibri"/>
        <family val="2"/>
        <scheme val="minor"/>
      </rPr>
      <t xml:space="preserve"> BERA SOCIALISTA</t>
    </r>
  </si>
  <si>
    <t>CON VISERA, CERTIFICADO, PARA NIÑOS COLOR AZUL Y GRIS</t>
  </si>
  <si>
    <t>PEGAMENTO</t>
  </si>
  <si>
    <t>PARA MADERA, PLASTICO, CUERO Y GOMA 118 CC</t>
  </si>
  <si>
    <t>COLA</t>
  </si>
  <si>
    <t>ASIENTO</t>
  </si>
  <si>
    <t>DE BERA</t>
  </si>
  <si>
    <t>DE HORSE</t>
  </si>
  <si>
    <t>DE EXPRESS</t>
  </si>
  <si>
    <t>DE BERA, EK EXPRESS, JAGUAR, MD, BTR MARCA SPORT COLORES VARIOS</t>
  </si>
  <si>
    <t>DE AX 100 ROJA</t>
  </si>
  <si>
    <t>DE HORSE I COMPLETA NEGRA</t>
  </si>
  <si>
    <t>DE HORSE I COMPLETA AZUL</t>
  </si>
  <si>
    <t>DE HORSE I COMPLETA ROJA</t>
  </si>
  <si>
    <t>MANILLA</t>
  </si>
  <si>
    <t>FERRETERIA</t>
  </si>
  <si>
    <t>LIJAS</t>
  </si>
  <si>
    <t>DE 80 A 2000</t>
  </si>
  <si>
    <t>PEGA EPOXY 4 MINUTO VARIAS MARCAS</t>
  </si>
  <si>
    <t>PEGA EPOXY 5 MINUTOS MOZUKI DE INYECTADORA</t>
  </si>
  <si>
    <t>PEGA TANQUE Y PEGA AMARILLA DE POTECITO A Y B</t>
  </si>
  <si>
    <t>SILICON</t>
  </si>
  <si>
    <t xml:space="preserve">SILICON </t>
  </si>
  <si>
    <t>RTV MARCA CLEVER NEGRO, ROJO Y GRIS, ALTA TEMPERATURA</t>
  </si>
  <si>
    <t>CHINO DE ALTA TEMPERATURA (MOZUKI, MARCKY, MEICKY) 85 - 100 GRS</t>
  </si>
  <si>
    <t>MEGA GRAY DE ALTA TEMPERATURA 85 - 100 GRS</t>
  </si>
  <si>
    <t>DE CROCHE COMPLETA DE HORSE</t>
  </si>
  <si>
    <t>DE FRENO COMPLETA, DE EK EXPRESS</t>
  </si>
  <si>
    <t>DE FRENO COMPLETA, DE BERA</t>
  </si>
  <si>
    <t>DE FRENO COMPLETA, DE TX 200</t>
  </si>
  <si>
    <t>DE CROCHE SOLA DE OWEN, GN 125</t>
  </si>
  <si>
    <t>DE FRENO SOLA DE OWEN, GN 125</t>
  </si>
  <si>
    <t>DE CROCHE SOLA DE BERA</t>
  </si>
  <si>
    <t>DE FRENO SOLA DE BERA</t>
  </si>
  <si>
    <t>DE FRENO SOLA DE HORSE</t>
  </si>
  <si>
    <t>DE CROCHE SOLA DE HORSE</t>
  </si>
  <si>
    <t>DE CROCHE SOLA DE TX</t>
  </si>
  <si>
    <t>DE FRENO SOLA DE TX</t>
  </si>
  <si>
    <t>PEGA EPOXY 5 MINUTOS DE TUBO GRANDE MARCA BENF</t>
  </si>
  <si>
    <t>BASE DE FARO DE BERA, MD, EK EXPRESS</t>
  </si>
  <si>
    <t>REFLECTOR DE FARO DE HORSE I</t>
  </si>
  <si>
    <t>EMBLEMA</t>
  </si>
  <si>
    <r>
      <t>DE TAPAS DE HORSE (</t>
    </r>
    <r>
      <rPr>
        <b/>
        <sz val="11"/>
        <color rgb="FFFF0000"/>
        <rFont val="Calibri"/>
        <family val="2"/>
        <scheme val="minor"/>
      </rPr>
      <t>PAR</t>
    </r>
    <r>
      <rPr>
        <sz val="11"/>
        <color theme="1"/>
        <rFont val="Calibri"/>
        <family val="2"/>
        <scheme val="minor"/>
      </rPr>
      <t xml:space="preserve">) </t>
    </r>
  </si>
  <si>
    <r>
      <t>DE TANQUE DE HORSE (</t>
    </r>
    <r>
      <rPr>
        <b/>
        <sz val="11"/>
        <color rgb="FFFF0000"/>
        <rFont val="Calibri"/>
        <family val="2"/>
        <scheme val="minor"/>
      </rPr>
      <t>PAR</t>
    </r>
    <r>
      <rPr>
        <sz val="11"/>
        <color theme="1"/>
        <rFont val="Calibri"/>
        <family val="2"/>
        <scheme val="minor"/>
      </rPr>
      <t>)</t>
    </r>
  </si>
  <si>
    <t>BORDE DE FARO</t>
  </si>
  <si>
    <t>DE MD, JAGUAR, ESCUDA</t>
  </si>
  <si>
    <t>CINTA PLASTICA ADHESIVA</t>
  </si>
  <si>
    <t>TEIPE NEGRO MARCA COBRA ORIGINAL</t>
  </si>
  <si>
    <t>TEIPE COLORES VARIOS, MARCA MOZUKI</t>
  </si>
  <si>
    <t>TEIPE ELECTRICO PEQUEÑO, VARIAS MARCAS</t>
  </si>
  <si>
    <t>DEL MAGNETO DE HORSE, BERA, TX 200</t>
  </si>
  <si>
    <t>DE CROCHERA DE HORSE Y BERA</t>
  </si>
  <si>
    <t>DE CROCHERA DE BERA CON BALANCEADOR</t>
  </si>
  <si>
    <t>EMPACADURA</t>
  </si>
  <si>
    <t>DE CROCHERA DE TX 200, OWEN 2011, ARSEN II, RKV</t>
  </si>
  <si>
    <t>VARILLA DE FRENO</t>
  </si>
  <si>
    <t>DE HORSE I, II Y SBR</t>
  </si>
  <si>
    <t>DE OWEN 2011, GN 125</t>
  </si>
  <si>
    <t>DE CG 150, BERA SOCIALISTA, MD, JAGUAR</t>
  </si>
  <si>
    <t>HERRAMIENTA</t>
  </si>
  <si>
    <r>
      <rPr>
        <b/>
        <sz val="11"/>
        <color rgb="FFFF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 DE DADOS 8,9,10 (PEQUEÑA)</t>
    </r>
  </si>
  <si>
    <t>FORRO DE MANILLA</t>
  </si>
  <si>
    <t>DE GOMA COLORES VARIOS</t>
  </si>
  <si>
    <t>GUALLA</t>
  </si>
  <si>
    <t>DE FRENO CON FORRO COLORES VARIOS</t>
  </si>
  <si>
    <t>DE FRENO SIN FORRO</t>
  </si>
  <si>
    <t>DE CAMBIO SIN FORRO</t>
  </si>
  <si>
    <t>DE CROCHE SOLA UNIVERSAL</t>
  </si>
  <si>
    <t>DE ACELERACION UNIVERSAL</t>
  </si>
  <si>
    <t>PIPA</t>
  </si>
  <si>
    <t>CON CABLE SOLO NEGRA</t>
  </si>
  <si>
    <t>SOLA DE SILICON, COLORES VARIOS</t>
  </si>
  <si>
    <t>SOLA CON LUCES, COLORES VARIOS</t>
  </si>
  <si>
    <t>SOLA GY6 AUTOMATICA (NEGRA)</t>
  </si>
  <si>
    <t>SOLA DE HORSE, BERA, TX (NEGRA)</t>
  </si>
  <si>
    <t>SWITCHERA</t>
  </si>
  <si>
    <t>KIT DE EK EXPRESS MARCA MOZUKI</t>
  </si>
  <si>
    <r>
      <t xml:space="preserve">KIT DE EK EXPRESS MARCA </t>
    </r>
    <r>
      <rPr>
        <b/>
        <sz val="11"/>
        <color rgb="FFFF0000"/>
        <rFont val="Calibri"/>
        <family val="2"/>
        <scheme val="minor"/>
      </rPr>
      <t>ALDRICH</t>
    </r>
  </si>
  <si>
    <r>
      <t xml:space="preserve">DE CRUCE </t>
    </r>
    <r>
      <rPr>
        <b/>
        <sz val="11"/>
        <color rgb="FFFF0000"/>
        <rFont val="Calibri"/>
        <family val="2"/>
        <scheme val="minor"/>
      </rPr>
      <t>PAR</t>
    </r>
    <r>
      <rPr>
        <sz val="11"/>
        <rFont val="Calibri"/>
        <family val="2"/>
        <scheme val="minor"/>
      </rPr>
      <t xml:space="preserve"> DE MD ESCUDA</t>
    </r>
  </si>
  <si>
    <r>
      <t xml:space="preserve">DE CRUCE </t>
    </r>
    <r>
      <rPr>
        <b/>
        <sz val="11"/>
        <color rgb="FFFF0000"/>
        <rFont val="Calibri"/>
        <family val="2"/>
        <scheme val="minor"/>
      </rPr>
      <t>PAR</t>
    </r>
    <r>
      <rPr>
        <sz val="11"/>
        <rFont val="Calibri"/>
        <family val="2"/>
        <scheme val="minor"/>
      </rPr>
      <t xml:space="preserve"> DE EK EXPRESS I MARCA ALDRICH</t>
    </r>
  </si>
  <si>
    <r>
      <t xml:space="preserve">KIT DE MOTOR DE HJ MARCA </t>
    </r>
    <r>
      <rPr>
        <b/>
        <sz val="11"/>
        <color rgb="FFFF0000"/>
        <rFont val="Calibri"/>
        <family val="2"/>
        <scheme val="minor"/>
      </rPr>
      <t>ALDRICH</t>
    </r>
  </si>
  <si>
    <r>
      <t xml:space="preserve">KIT DE MOTOR DE CG, HORSE I, II, BERA MARCA </t>
    </r>
    <r>
      <rPr>
        <b/>
        <sz val="11"/>
        <color rgb="FFFF0000"/>
        <rFont val="Calibri"/>
        <family val="2"/>
        <scheme val="minor"/>
      </rPr>
      <t>ALDRICH</t>
    </r>
  </si>
  <si>
    <r>
      <t xml:space="preserve">DE CRUCE </t>
    </r>
    <r>
      <rPr>
        <b/>
        <sz val="11"/>
        <color rgb="FFFF0000"/>
        <rFont val="Calibri"/>
        <family val="2"/>
        <scheme val="minor"/>
      </rPr>
      <t>PAR</t>
    </r>
    <r>
      <rPr>
        <sz val="11"/>
        <rFont val="Calibri"/>
        <family val="2"/>
        <scheme val="minor"/>
      </rPr>
      <t xml:space="preserve"> ORIGINAL DE EK EXPRESS II MARCA EK</t>
    </r>
  </si>
  <si>
    <t>DE GN 125</t>
  </si>
  <si>
    <t>DE OWEN GS 2014</t>
  </si>
  <si>
    <t>DE HORSE LIMITADOR CON CONTROL MARCA MOTORPOWER</t>
  </si>
  <si>
    <r>
      <t xml:space="preserve">CG 200 STD CLASE A DE PISTON MARCA </t>
    </r>
    <r>
      <rPr>
        <b/>
        <sz val="11"/>
        <color rgb="FFFF0000"/>
        <rFont val="Calibri"/>
        <family val="2"/>
        <scheme val="minor"/>
      </rPr>
      <t>ALDRICH</t>
    </r>
  </si>
  <si>
    <r>
      <t xml:space="preserve">CG 150 STD DE PISTON MARCA </t>
    </r>
    <r>
      <rPr>
        <b/>
        <sz val="11"/>
        <color rgb="FFFF0000"/>
        <rFont val="Calibri"/>
        <family val="2"/>
        <scheme val="minor"/>
      </rPr>
      <t>ALDRICH</t>
    </r>
  </si>
  <si>
    <r>
      <t xml:space="preserve">DE HORSE 39 T MARCA </t>
    </r>
    <r>
      <rPr>
        <b/>
        <sz val="11"/>
        <color rgb="FFFF0000"/>
        <rFont val="Calibri"/>
        <family val="2"/>
        <scheme val="minor"/>
      </rPr>
      <t>ALDRICH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</si>
</sst>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2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5" borderId="0" xfId="0" applyFill="1"/>
    <xf numFmtId="2" fontId="0" fillId="5" borderId="0" xfId="0" applyNumberFormat="1" applyFill="1"/>
    <xf numFmtId="164" fontId="0" fillId="3" borderId="0" xfId="0" applyNumberFormat="1" applyFill="1"/>
    <xf numFmtId="164" fontId="0" fillId="0" borderId="0" xfId="0" applyNumberFormat="1"/>
    <xf numFmtId="0" fontId="0" fillId="0" borderId="0" xfId="0"/>
    <xf numFmtId="9" fontId="0" fillId="0" borderId="0" xfId="0" applyNumberFormat="1"/>
    <xf numFmtId="0" fontId="0" fillId="0" borderId="0" xfId="0"/>
    <xf numFmtId="0" fontId="0" fillId="0" borderId="0" xfId="0" applyFont="1"/>
    <xf numFmtId="0" fontId="0" fillId="6" borderId="0" xfId="0" applyFill="1"/>
    <xf numFmtId="0" fontId="0" fillId="3" borderId="0" xfId="0" applyFill="1"/>
    <xf numFmtId="0" fontId="0" fillId="8" borderId="0" xfId="0" applyFill="1"/>
    <xf numFmtId="0" fontId="0" fillId="9" borderId="0" xfId="0" applyFill="1"/>
    <xf numFmtId="2" fontId="0" fillId="7" borderId="0" xfId="0" applyNumberFormat="1" applyFill="1"/>
    <xf numFmtId="0" fontId="0" fillId="10" borderId="0" xfId="0" applyFill="1"/>
    <xf numFmtId="0" fontId="0" fillId="0" borderId="0" xfId="0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 applyFill="1" applyBorder="1"/>
    <xf numFmtId="0" fontId="0" fillId="0" borderId="0" xfId="0"/>
    <xf numFmtId="0" fontId="0" fillId="0" borderId="0" xfId="0" applyFill="1" applyBorder="1"/>
    <xf numFmtId="0" fontId="0" fillId="0" borderId="0" xfId="0"/>
    <xf numFmtId="0" fontId="0" fillId="0" borderId="0" xfId="0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20" fontId="0" fillId="0" borderId="0" xfId="0" applyNumberFormat="1" applyFill="1" applyBorder="1"/>
    <xf numFmtId="0" fontId="0" fillId="0" borderId="0" xfId="0" applyNumberFormat="1" applyFill="1" applyBorder="1"/>
    <xf numFmtId="0" fontId="0" fillId="0" borderId="0" xfId="0" applyNumberFormat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Border="1" applyAlignme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5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830"/>
  <sheetViews>
    <sheetView topLeftCell="A608" zoomScale="110" zoomScaleNormal="110" workbookViewId="0">
      <selection activeCell="A624" sqref="A624"/>
    </sheetView>
  </sheetViews>
  <sheetFormatPr baseColWidth="10" defaultRowHeight="15" x14ac:dyDescent="0.25"/>
  <cols>
    <col min="1" max="1" width="24.140625" bestFit="1" customWidth="1"/>
    <col min="2" max="2" width="16.85546875" bestFit="1" customWidth="1"/>
    <col min="4" max="4" width="39.140625" customWidth="1"/>
    <col min="5" max="5" width="12.85546875" bestFit="1" customWidth="1"/>
    <col min="6" max="6" width="6.42578125" style="4" customWidth="1"/>
    <col min="9" max="9" width="12.5703125" style="8" bestFit="1" customWidth="1"/>
    <col min="11" max="11" width="13.140625" bestFit="1" customWidth="1"/>
  </cols>
  <sheetData>
    <row r="4" spans="1:13" x14ac:dyDescent="0.25">
      <c r="E4" s="37" t="s">
        <v>2</v>
      </c>
      <c r="F4" s="37"/>
      <c r="G4" s="37"/>
      <c r="H4" s="37"/>
      <c r="I4" s="37"/>
      <c r="K4" s="34" t="s">
        <v>1</v>
      </c>
      <c r="L4" s="34"/>
      <c r="M4" s="34"/>
    </row>
    <row r="5" spans="1:13" x14ac:dyDescent="0.25">
      <c r="B5" s="35" t="s">
        <v>0</v>
      </c>
      <c r="C5" s="35"/>
      <c r="D5" s="35"/>
      <c r="E5" t="s">
        <v>3</v>
      </c>
      <c r="F5" s="4" t="s">
        <v>391</v>
      </c>
      <c r="G5" t="s">
        <v>4</v>
      </c>
      <c r="H5" t="s">
        <v>5</v>
      </c>
      <c r="I5" s="7" t="s">
        <v>37</v>
      </c>
      <c r="K5" t="s">
        <v>3</v>
      </c>
      <c r="L5" t="s">
        <v>4</v>
      </c>
      <c r="M5" t="s">
        <v>5</v>
      </c>
    </row>
    <row r="6" spans="1:13" x14ac:dyDescent="0.25">
      <c r="B6" s="36" t="s">
        <v>9</v>
      </c>
      <c r="C6" s="36"/>
      <c r="D6" s="36"/>
      <c r="G6" s="1"/>
      <c r="H6" s="1"/>
      <c r="I6" s="7"/>
      <c r="K6" s="1"/>
      <c r="L6" s="1"/>
      <c r="M6" s="1"/>
    </row>
    <row r="7" spans="1:13" x14ac:dyDescent="0.25">
      <c r="A7" t="s">
        <v>10</v>
      </c>
      <c r="B7" s="26" t="s">
        <v>11</v>
      </c>
      <c r="C7" s="26"/>
      <c r="D7" s="26"/>
      <c r="E7">
        <v>49</v>
      </c>
      <c r="G7" s="1">
        <f>((Fórmulas!C$6/Fórmulas!D$6)/Fórmulas!E$6)*E7</f>
        <v>120</v>
      </c>
      <c r="H7" s="1">
        <f>G7*Fórmulas!B$9</f>
        <v>42000</v>
      </c>
      <c r="I7" s="7">
        <f t="shared" ref="I7" si="0">E7/0.6</f>
        <v>81.666666666666671</v>
      </c>
      <c r="K7" s="1">
        <v>1</v>
      </c>
      <c r="L7" s="1">
        <f>((Fórmulas!C$6/Fórmulas!D$6)/0.7)*K7</f>
        <v>2.4489795918367347</v>
      </c>
      <c r="M7" s="1">
        <f>L7*Fórmulas!D$6</f>
        <v>857.14285714285711</v>
      </c>
    </row>
    <row r="8" spans="1:13" x14ac:dyDescent="0.25">
      <c r="A8" s="2" t="s">
        <v>10</v>
      </c>
      <c r="B8" s="26" t="s">
        <v>12</v>
      </c>
      <c r="C8" s="26"/>
      <c r="D8" s="26"/>
      <c r="E8">
        <v>0</v>
      </c>
      <c r="G8" s="1">
        <f>((Fórmulas!C$6/Fórmulas!D$6)/Fórmulas!E$6)*E8</f>
        <v>0</v>
      </c>
      <c r="H8" s="1">
        <f>G8*Fórmulas!B$9</f>
        <v>0</v>
      </c>
      <c r="I8" s="7">
        <f t="shared" ref="I8:I80" si="1">E8/0.6</f>
        <v>0</v>
      </c>
      <c r="K8" s="1">
        <v>1</v>
      </c>
      <c r="L8" s="1">
        <f>((Fórmulas!C$6/Fórmulas!D$6)/0.7)*K8</f>
        <v>2.4489795918367347</v>
      </c>
      <c r="M8" s="1">
        <f>L8*Fórmulas!D$6</f>
        <v>857.14285714285711</v>
      </c>
    </row>
    <row r="9" spans="1:13" x14ac:dyDescent="0.25">
      <c r="A9" s="2" t="s">
        <v>10</v>
      </c>
      <c r="B9" s="26" t="s">
        <v>13</v>
      </c>
      <c r="C9" s="26"/>
      <c r="D9" s="26"/>
      <c r="E9">
        <v>43.5</v>
      </c>
      <c r="G9" s="1">
        <f>((Fórmulas!C$6/Fórmulas!D$6)/Fórmulas!E$6)*E9</f>
        <v>106.53061224489797</v>
      </c>
      <c r="H9" s="1">
        <f>G9*Fórmulas!B$9</f>
        <v>37285.71428571429</v>
      </c>
      <c r="I9" s="7">
        <f t="shared" si="1"/>
        <v>72.5</v>
      </c>
      <c r="K9" s="1">
        <v>1</v>
      </c>
      <c r="L9" s="1">
        <f>((Fórmulas!C$6/Fórmulas!D$6)/0.7)*K9</f>
        <v>2.4489795918367347</v>
      </c>
      <c r="M9" s="1">
        <f>L9*Fórmulas!D$6</f>
        <v>857.14285714285711</v>
      </c>
    </row>
    <row r="10" spans="1:13" x14ac:dyDescent="0.25">
      <c r="A10" s="2" t="s">
        <v>10</v>
      </c>
      <c r="B10" s="26" t="s">
        <v>14</v>
      </c>
      <c r="C10" s="26"/>
      <c r="D10" s="26"/>
      <c r="E10">
        <v>43.5</v>
      </c>
      <c r="G10" s="1">
        <f>((Fórmulas!C$6/Fórmulas!D$6)/Fórmulas!E$6)*E10</f>
        <v>106.53061224489797</v>
      </c>
      <c r="H10" s="1">
        <f>G10*Fórmulas!B$9</f>
        <v>37285.71428571429</v>
      </c>
      <c r="I10" s="7">
        <f t="shared" si="1"/>
        <v>72.5</v>
      </c>
      <c r="K10" s="1">
        <v>1</v>
      </c>
      <c r="L10" s="1">
        <f>((Fórmulas!C$6/Fórmulas!D$6)/0.7)*K10</f>
        <v>2.4489795918367347</v>
      </c>
      <c r="M10" s="1">
        <f>L10*Fórmulas!D$6</f>
        <v>857.14285714285711</v>
      </c>
    </row>
    <row r="11" spans="1:13" x14ac:dyDescent="0.25">
      <c r="A11" s="2" t="s">
        <v>10</v>
      </c>
      <c r="B11" s="26" t="s">
        <v>16</v>
      </c>
      <c r="C11" s="26"/>
      <c r="D11" s="26"/>
      <c r="E11">
        <v>43.5</v>
      </c>
      <c r="G11" s="1">
        <f>((Fórmulas!C$6/Fórmulas!D$6)/Fórmulas!E$6)*E11</f>
        <v>106.53061224489797</v>
      </c>
      <c r="H11" s="1">
        <f>G11*Fórmulas!B$9</f>
        <v>37285.71428571429</v>
      </c>
      <c r="I11" s="7">
        <f t="shared" si="1"/>
        <v>72.5</v>
      </c>
      <c r="K11" s="1">
        <v>1</v>
      </c>
      <c r="L11" s="1">
        <f>((Fórmulas!C$6/Fórmulas!D$6)/0.7)*K11</f>
        <v>2.4489795918367347</v>
      </c>
      <c r="M11" s="1">
        <f>L11*Fórmulas!D$6</f>
        <v>857.14285714285711</v>
      </c>
    </row>
    <row r="12" spans="1:13" x14ac:dyDescent="0.25">
      <c r="A12" s="2" t="s">
        <v>10</v>
      </c>
      <c r="B12" s="26" t="s">
        <v>17</v>
      </c>
      <c r="C12" s="26"/>
      <c r="D12" s="26"/>
      <c r="E12">
        <v>43.5</v>
      </c>
      <c r="G12" s="1">
        <f>((Fórmulas!C$6/Fórmulas!D$6)/Fórmulas!E$6)*E12</f>
        <v>106.53061224489797</v>
      </c>
      <c r="H12" s="1">
        <f>G12*Fórmulas!B$9</f>
        <v>37285.71428571429</v>
      </c>
      <c r="I12" s="7">
        <f t="shared" si="1"/>
        <v>72.5</v>
      </c>
      <c r="K12" s="1">
        <v>1</v>
      </c>
      <c r="L12" s="1">
        <f>((Fórmulas!C$6/Fórmulas!D$6)/0.7)*K12</f>
        <v>2.4489795918367347</v>
      </c>
      <c r="M12" s="1">
        <f>L12*Fórmulas!D$6</f>
        <v>857.14285714285711</v>
      </c>
    </row>
    <row r="13" spans="1:13" x14ac:dyDescent="0.25">
      <c r="A13" s="2" t="s">
        <v>10</v>
      </c>
      <c r="B13" s="26" t="s">
        <v>18</v>
      </c>
      <c r="C13" s="26"/>
      <c r="D13" s="26"/>
      <c r="E13">
        <v>43.5</v>
      </c>
      <c r="G13" s="1">
        <f>((Fórmulas!C$6/Fórmulas!D$6)/Fórmulas!E$6)*E13</f>
        <v>106.53061224489797</v>
      </c>
      <c r="H13" s="1">
        <f>G13*Fórmulas!B$9</f>
        <v>37285.71428571429</v>
      </c>
      <c r="I13" s="7">
        <f t="shared" si="1"/>
        <v>72.5</v>
      </c>
      <c r="K13" s="1">
        <v>1</v>
      </c>
      <c r="L13" s="1">
        <f>((Fórmulas!C$6/Fórmulas!D$6)/0.7)*K13</f>
        <v>2.4489795918367347</v>
      </c>
      <c r="M13" s="1">
        <f>L13*Fórmulas!D$6</f>
        <v>857.14285714285711</v>
      </c>
    </row>
    <row r="14" spans="1:13" x14ac:dyDescent="0.25">
      <c r="A14" s="2" t="s">
        <v>10</v>
      </c>
      <c r="B14" s="26" t="s">
        <v>19</v>
      </c>
      <c r="C14" s="26"/>
      <c r="D14" s="26"/>
      <c r="E14" s="2">
        <v>43.5</v>
      </c>
      <c r="G14" s="1">
        <f>((Fórmulas!C$6/Fórmulas!D$6)/Fórmulas!E$6)*E14</f>
        <v>106.53061224489797</v>
      </c>
      <c r="H14" s="1">
        <f>G14*Fórmulas!B$9</f>
        <v>37285.71428571429</v>
      </c>
      <c r="I14" s="7">
        <f t="shared" si="1"/>
        <v>72.5</v>
      </c>
      <c r="K14" s="1">
        <v>1</v>
      </c>
      <c r="L14" s="1">
        <f>((Fórmulas!C$6/Fórmulas!D$6)/0.7)*K14</f>
        <v>2.4489795918367347</v>
      </c>
      <c r="M14" s="1">
        <f>L14*Fórmulas!D$6</f>
        <v>857.14285714285711</v>
      </c>
    </row>
    <row r="15" spans="1:13" x14ac:dyDescent="0.25">
      <c r="A15" s="2" t="s">
        <v>10</v>
      </c>
      <c r="B15" s="26" t="s">
        <v>21</v>
      </c>
      <c r="C15" s="26"/>
      <c r="D15" s="26"/>
      <c r="E15" s="2">
        <v>111.5</v>
      </c>
      <c r="G15" s="1">
        <f>((Fórmulas!C$6/Fórmulas!D$6)/Fórmulas!E$6)*E15</f>
        <v>273.0612244897959</v>
      </c>
      <c r="H15" s="1">
        <f>G15*Fórmulas!B$9</f>
        <v>95571.428571428565</v>
      </c>
      <c r="I15" s="7">
        <f t="shared" si="1"/>
        <v>185.83333333333334</v>
      </c>
      <c r="K15" s="1">
        <v>1</v>
      </c>
      <c r="L15" s="1">
        <f>((Fórmulas!C$6/Fórmulas!D$6)/0.7)*K15</f>
        <v>2.4489795918367347</v>
      </c>
      <c r="M15" s="1">
        <f>L15*Fórmulas!D$6</f>
        <v>857.14285714285711</v>
      </c>
    </row>
    <row r="16" spans="1:13" x14ac:dyDescent="0.25">
      <c r="A16" s="2" t="s">
        <v>10</v>
      </c>
      <c r="B16" s="26" t="s">
        <v>20</v>
      </c>
      <c r="C16" s="26"/>
      <c r="D16" s="26"/>
      <c r="E16" s="2">
        <v>111.5</v>
      </c>
      <c r="G16" s="1">
        <f>((Fórmulas!C$6/Fórmulas!D$6)/Fórmulas!E$6)*E16</f>
        <v>273.0612244897959</v>
      </c>
      <c r="H16" s="1">
        <f>G16*Fórmulas!B$9</f>
        <v>95571.428571428565</v>
      </c>
      <c r="I16" s="7">
        <f t="shared" si="1"/>
        <v>185.83333333333334</v>
      </c>
      <c r="K16" s="1">
        <v>1</v>
      </c>
      <c r="L16" s="1">
        <f>((Fórmulas!C$6/Fórmulas!D$6)/0.7)*K16</f>
        <v>2.4489795918367347</v>
      </c>
      <c r="M16" s="1">
        <f>L16*Fórmulas!D$6</f>
        <v>857.14285714285711</v>
      </c>
    </row>
    <row r="17" spans="1:13" x14ac:dyDescent="0.25">
      <c r="A17" s="2" t="s">
        <v>10</v>
      </c>
      <c r="B17" s="26" t="s">
        <v>15</v>
      </c>
      <c r="C17" s="26"/>
      <c r="D17" s="26"/>
      <c r="E17" s="2">
        <v>43.5</v>
      </c>
      <c r="G17" s="1">
        <f>((Fórmulas!C$6/Fórmulas!D$6)/Fórmulas!E$6)*E17</f>
        <v>106.53061224489797</v>
      </c>
      <c r="H17" s="1">
        <f>G17*Fórmulas!B$9</f>
        <v>37285.71428571429</v>
      </c>
      <c r="I17" s="7">
        <f t="shared" si="1"/>
        <v>72.5</v>
      </c>
      <c r="K17" s="1">
        <v>1</v>
      </c>
      <c r="L17" s="1">
        <f>((Fórmulas!C$6/Fórmulas!D$6)/0.7)*K17</f>
        <v>2.4489795918367347</v>
      </c>
      <c r="M17" s="1">
        <f>L17*Fórmulas!D$6</f>
        <v>857.14285714285711</v>
      </c>
    </row>
    <row r="18" spans="1:13" x14ac:dyDescent="0.25">
      <c r="A18" s="2" t="s">
        <v>10</v>
      </c>
      <c r="B18" s="26" t="s">
        <v>22</v>
      </c>
      <c r="C18" s="26"/>
      <c r="D18" s="26"/>
      <c r="E18" s="2">
        <v>31.5</v>
      </c>
      <c r="G18" s="1">
        <f>((Fórmulas!C$6/Fórmulas!D$6)/Fórmulas!E$6)*E18</f>
        <v>77.142857142857139</v>
      </c>
      <c r="H18" s="1">
        <f>G18*Fórmulas!B$9</f>
        <v>27000</v>
      </c>
      <c r="I18" s="7">
        <f t="shared" si="1"/>
        <v>52.5</v>
      </c>
      <c r="K18" s="1">
        <v>1</v>
      </c>
      <c r="L18" s="1">
        <f>((Fórmulas!C$6/Fórmulas!D$6)/0.7)*K18</f>
        <v>2.4489795918367347</v>
      </c>
      <c r="M18" s="1">
        <f>L18*Fórmulas!D$6</f>
        <v>857.14285714285711</v>
      </c>
    </row>
    <row r="19" spans="1:13" x14ac:dyDescent="0.25">
      <c r="A19" s="2" t="s">
        <v>10</v>
      </c>
      <c r="B19" s="26" t="s">
        <v>23</v>
      </c>
      <c r="C19" s="26"/>
      <c r="D19" s="26"/>
      <c r="E19" s="2">
        <v>31.5</v>
      </c>
      <c r="G19" s="1">
        <f>((Fórmulas!C$6/Fórmulas!D$6)/Fórmulas!E$6)*E19</f>
        <v>77.142857142857139</v>
      </c>
      <c r="H19" s="1">
        <f>G19*Fórmulas!B$9</f>
        <v>27000</v>
      </c>
      <c r="I19" s="7">
        <f t="shared" si="1"/>
        <v>52.5</v>
      </c>
      <c r="K19" s="1">
        <v>1</v>
      </c>
      <c r="L19" s="1">
        <f>((Fórmulas!C$6/Fórmulas!D$6)/0.7)*K19</f>
        <v>2.4489795918367347</v>
      </c>
      <c r="M19" s="1">
        <f>L19*Fórmulas!D$6</f>
        <v>857.14285714285711</v>
      </c>
    </row>
    <row r="20" spans="1:13" x14ac:dyDescent="0.25">
      <c r="A20" s="2" t="s">
        <v>10</v>
      </c>
      <c r="B20" s="26" t="s">
        <v>24</v>
      </c>
      <c r="C20" s="26"/>
      <c r="D20" s="26"/>
      <c r="E20" s="2">
        <v>31</v>
      </c>
      <c r="G20" s="1">
        <f>((Fórmulas!C$6/Fórmulas!D$6)/Fórmulas!E$6)*E20</f>
        <v>75.91836734693878</v>
      </c>
      <c r="H20" s="1">
        <f>G20*Fórmulas!B$9</f>
        <v>26571.428571428572</v>
      </c>
      <c r="I20" s="7">
        <f t="shared" si="1"/>
        <v>51.666666666666671</v>
      </c>
      <c r="K20" s="1">
        <v>1</v>
      </c>
      <c r="L20" s="1">
        <f>((Fórmulas!C$6/Fórmulas!D$6)/0.7)*K20</f>
        <v>2.4489795918367347</v>
      </c>
      <c r="M20" s="1">
        <f>L20*Fórmulas!D$6</f>
        <v>857.14285714285711</v>
      </c>
    </row>
    <row r="21" spans="1:13" x14ac:dyDescent="0.25">
      <c r="A21" s="2" t="s">
        <v>10</v>
      </c>
      <c r="B21" s="26" t="s">
        <v>25</v>
      </c>
      <c r="C21" s="26"/>
      <c r="D21" s="26"/>
      <c r="E21" s="2">
        <v>31.5</v>
      </c>
      <c r="G21" s="1">
        <f>((Fórmulas!C$6/Fórmulas!D$6)/Fórmulas!E$6)*E21</f>
        <v>77.142857142857139</v>
      </c>
      <c r="H21" s="1">
        <f>G21*Fórmulas!B$9</f>
        <v>27000</v>
      </c>
      <c r="I21" s="7">
        <f t="shared" si="1"/>
        <v>52.5</v>
      </c>
      <c r="K21" s="1">
        <v>1</v>
      </c>
      <c r="L21" s="1">
        <f>((Fórmulas!C$6/Fórmulas!D$6)/0.7)*K21</f>
        <v>2.4489795918367347</v>
      </c>
      <c r="M21" s="1">
        <f>L21*Fórmulas!D$6</f>
        <v>857.14285714285711</v>
      </c>
    </row>
    <row r="22" spans="1:13" x14ac:dyDescent="0.25">
      <c r="A22" s="2" t="s">
        <v>10</v>
      </c>
      <c r="B22" s="26" t="s">
        <v>26</v>
      </c>
      <c r="C22" s="26"/>
      <c r="D22" s="26"/>
      <c r="E22" s="2">
        <v>31.5</v>
      </c>
      <c r="G22" s="1">
        <f>((Fórmulas!C$6/Fórmulas!D$6)/Fórmulas!E$6)*E22</f>
        <v>77.142857142857139</v>
      </c>
      <c r="H22" s="1">
        <f>G22*Fórmulas!B$9</f>
        <v>27000</v>
      </c>
      <c r="I22" s="7">
        <f t="shared" si="1"/>
        <v>52.5</v>
      </c>
      <c r="K22" s="1">
        <v>1</v>
      </c>
      <c r="L22" s="1">
        <f>((Fórmulas!C$6/Fórmulas!D$6)/0.7)*K22</f>
        <v>2.4489795918367347</v>
      </c>
      <c r="M22" s="1">
        <f>L22*Fórmulas!D$6</f>
        <v>857.14285714285711</v>
      </c>
    </row>
    <row r="23" spans="1:13" x14ac:dyDescent="0.25">
      <c r="A23" s="2" t="s">
        <v>10</v>
      </c>
      <c r="B23" s="26" t="s">
        <v>27</v>
      </c>
      <c r="C23" s="26"/>
      <c r="D23" s="26"/>
      <c r="E23" s="2">
        <v>31.5</v>
      </c>
      <c r="G23" s="1">
        <f>((Fórmulas!C$6/Fórmulas!D$6)/Fórmulas!E$6)*E23</f>
        <v>77.142857142857139</v>
      </c>
      <c r="H23" s="1">
        <f>G23*Fórmulas!B$9</f>
        <v>27000</v>
      </c>
      <c r="I23" s="7">
        <f t="shared" si="1"/>
        <v>52.5</v>
      </c>
      <c r="K23" s="1">
        <v>1</v>
      </c>
      <c r="L23" s="1">
        <f>((Fórmulas!C$6/Fórmulas!D$6)/0.7)*K23</f>
        <v>2.4489795918367347</v>
      </c>
      <c r="M23" s="1">
        <f>L23*Fórmulas!D$6</f>
        <v>857.14285714285711</v>
      </c>
    </row>
    <row r="24" spans="1:13" s="4" customFormat="1" x14ac:dyDescent="0.25">
      <c r="A24" s="4" t="s">
        <v>10</v>
      </c>
      <c r="B24" s="25" t="s">
        <v>431</v>
      </c>
      <c r="C24" s="25"/>
      <c r="D24" s="25"/>
      <c r="E24" s="4">
        <v>91.3</v>
      </c>
      <c r="G24" s="1">
        <f>((Fórmulas!C$6/Fórmulas!D$6)/Fórmulas!E$6)*E24</f>
        <v>223.59183673469389</v>
      </c>
      <c r="H24" s="1">
        <f>G24*Fórmulas!B$9</f>
        <v>78257.142857142855</v>
      </c>
      <c r="I24" s="7">
        <f t="shared" si="1"/>
        <v>152.16666666666666</v>
      </c>
      <c r="K24" s="1">
        <v>1</v>
      </c>
      <c r="L24" s="1">
        <f>((Fórmulas!C$6/Fórmulas!D$6)/0.7)*K24</f>
        <v>2.4489795918367347</v>
      </c>
      <c r="M24" s="1">
        <f>L24*Fórmulas!D$6</f>
        <v>857.14285714285711</v>
      </c>
    </row>
    <row r="25" spans="1:13" s="4" customFormat="1" x14ac:dyDescent="0.25">
      <c r="B25" s="26"/>
      <c r="C25" s="26"/>
      <c r="D25" s="26"/>
      <c r="E25" s="4">
        <v>0</v>
      </c>
      <c r="G25" s="1">
        <f>((Fórmulas!C$6/Fórmulas!D$6)/Fórmulas!E$6)*E25</f>
        <v>0</v>
      </c>
      <c r="H25" s="1">
        <f>G25*Fórmulas!B$9</f>
        <v>0</v>
      </c>
      <c r="I25" s="7">
        <f t="shared" si="1"/>
        <v>0</v>
      </c>
      <c r="K25" s="1">
        <v>1</v>
      </c>
      <c r="L25" s="1">
        <f>((Fórmulas!C$6/Fórmulas!D$6)/0.7)*K25</f>
        <v>2.4489795918367347</v>
      </c>
      <c r="M25" s="1">
        <f>L25*Fórmulas!D$6</f>
        <v>857.14285714285711</v>
      </c>
    </row>
    <row r="26" spans="1:13" s="4" customFormat="1" x14ac:dyDescent="0.25">
      <c r="B26" s="26"/>
      <c r="C26" s="26"/>
      <c r="D26" s="26"/>
      <c r="E26" s="4">
        <v>0</v>
      </c>
      <c r="G26" s="1">
        <f>((Fórmulas!C$6/Fórmulas!D$6)/Fórmulas!E$6)*E26</f>
        <v>0</v>
      </c>
      <c r="H26" s="1">
        <f>G26*Fórmulas!B$9</f>
        <v>0</v>
      </c>
      <c r="I26" s="7">
        <f t="shared" si="1"/>
        <v>0</v>
      </c>
      <c r="K26" s="1">
        <v>1</v>
      </c>
      <c r="L26" s="1">
        <f>((Fórmulas!C$6/Fórmulas!D$6)/0.7)*K26</f>
        <v>2.4489795918367347</v>
      </c>
      <c r="M26" s="1">
        <f>L26*Fórmulas!D$6</f>
        <v>857.14285714285711</v>
      </c>
    </row>
    <row r="27" spans="1:13" s="4" customFormat="1" x14ac:dyDescent="0.25">
      <c r="B27" s="26"/>
      <c r="C27" s="26"/>
      <c r="D27" s="26"/>
      <c r="E27" s="4">
        <v>0</v>
      </c>
      <c r="G27" s="1">
        <f>((Fórmulas!C$6/Fórmulas!D$6)/Fórmulas!E$6)*E27</f>
        <v>0</v>
      </c>
      <c r="H27" s="1">
        <f>G27*Fórmulas!B$9</f>
        <v>0</v>
      </c>
      <c r="I27" s="7">
        <f t="shared" si="1"/>
        <v>0</v>
      </c>
      <c r="K27" s="1">
        <v>1</v>
      </c>
      <c r="L27" s="1">
        <f>((Fórmulas!C$6/Fórmulas!D$6)/0.7)*K27</f>
        <v>2.4489795918367347</v>
      </c>
      <c r="M27" s="1">
        <f>L27*Fórmulas!D$6</f>
        <v>857.14285714285711</v>
      </c>
    </row>
    <row r="28" spans="1:13" s="4" customFormat="1" x14ac:dyDescent="0.25">
      <c r="B28" s="26"/>
      <c r="C28" s="26"/>
      <c r="D28" s="26"/>
      <c r="E28" s="4">
        <v>0</v>
      </c>
      <c r="G28" s="1">
        <f>((Fórmulas!C$6/Fórmulas!D$6)/Fórmulas!E$6)*E28</f>
        <v>0</v>
      </c>
      <c r="H28" s="1">
        <f>G28*Fórmulas!B$9</f>
        <v>0</v>
      </c>
      <c r="I28" s="7">
        <f t="shared" si="1"/>
        <v>0</v>
      </c>
      <c r="K28" s="1">
        <v>1</v>
      </c>
      <c r="L28" s="1">
        <f>((Fórmulas!C$6/Fórmulas!D$6)/0.7)*K28</f>
        <v>2.4489795918367347</v>
      </c>
      <c r="M28" s="1">
        <f>L28*Fórmulas!D$6</f>
        <v>857.14285714285711</v>
      </c>
    </row>
    <row r="29" spans="1:13" s="4" customFormat="1" x14ac:dyDescent="0.25">
      <c r="B29" s="26"/>
      <c r="C29" s="26"/>
      <c r="D29" s="26"/>
      <c r="E29" s="4">
        <v>0</v>
      </c>
      <c r="G29" s="1">
        <f>((Fórmulas!C$6/Fórmulas!D$6)/Fórmulas!E$6)*E29</f>
        <v>0</v>
      </c>
      <c r="H29" s="1">
        <f>G29*Fórmulas!B$9</f>
        <v>0</v>
      </c>
      <c r="I29" s="7">
        <f t="shared" si="1"/>
        <v>0</v>
      </c>
      <c r="K29" s="1">
        <v>1</v>
      </c>
      <c r="L29" s="1">
        <f>((Fórmulas!C$6/Fórmulas!D$6)/0.7)*K29</f>
        <v>2.4489795918367347</v>
      </c>
      <c r="M29" s="1">
        <f>L29*Fórmulas!D$6</f>
        <v>857.14285714285711</v>
      </c>
    </row>
    <row r="30" spans="1:13" s="4" customFormat="1" x14ac:dyDescent="0.25">
      <c r="B30" s="26"/>
      <c r="C30" s="26"/>
      <c r="D30" s="26"/>
      <c r="E30" s="4">
        <v>0</v>
      </c>
      <c r="G30" s="1">
        <f>((Fórmulas!C$6/Fórmulas!D$6)/Fórmulas!E$6)*E30</f>
        <v>0</v>
      </c>
      <c r="H30" s="1">
        <f>G30*Fórmulas!B$9</f>
        <v>0</v>
      </c>
      <c r="I30" s="7">
        <f t="shared" si="1"/>
        <v>0</v>
      </c>
      <c r="K30" s="1">
        <v>1</v>
      </c>
      <c r="L30" s="1">
        <f>((Fórmulas!C$6/Fórmulas!D$6)/0.7)*K30</f>
        <v>2.4489795918367347</v>
      </c>
      <c r="M30" s="1">
        <f>L30*Fórmulas!D$6</f>
        <v>857.14285714285711</v>
      </c>
    </row>
    <row r="31" spans="1:13" s="4" customFormat="1" x14ac:dyDescent="0.25">
      <c r="B31" s="26"/>
      <c r="C31" s="26"/>
      <c r="D31" s="26"/>
      <c r="E31" s="4">
        <v>0</v>
      </c>
      <c r="G31" s="1">
        <f>((Fórmulas!C$6/Fórmulas!D$6)/Fórmulas!E$6)*E31</f>
        <v>0</v>
      </c>
      <c r="H31" s="1">
        <f>G31*Fórmulas!B$9</f>
        <v>0</v>
      </c>
      <c r="I31" s="7">
        <f t="shared" si="1"/>
        <v>0</v>
      </c>
      <c r="K31" s="1">
        <v>1</v>
      </c>
      <c r="L31" s="1">
        <f>((Fórmulas!C$6/Fórmulas!D$6)/0.7)*K31</f>
        <v>2.4489795918367347</v>
      </c>
      <c r="M31" s="1">
        <f>L31*Fórmulas!D$6</f>
        <v>857.14285714285711</v>
      </c>
    </row>
    <row r="32" spans="1:13" s="4" customFormat="1" x14ac:dyDescent="0.25">
      <c r="B32" s="26"/>
      <c r="C32" s="26"/>
      <c r="D32" s="26"/>
      <c r="E32" s="4">
        <v>0</v>
      </c>
      <c r="G32" s="1">
        <f>((Fórmulas!C$6/Fórmulas!D$6)/Fórmulas!E$6)*E32</f>
        <v>0</v>
      </c>
      <c r="H32" s="1">
        <f>G32*Fórmulas!B$9</f>
        <v>0</v>
      </c>
      <c r="I32" s="7">
        <f t="shared" si="1"/>
        <v>0</v>
      </c>
      <c r="K32" s="1">
        <v>1</v>
      </c>
      <c r="L32" s="1">
        <f>((Fórmulas!C$6/Fórmulas!D$6)/0.7)*K32</f>
        <v>2.4489795918367347</v>
      </c>
      <c r="M32" s="1">
        <f>L32*Fórmulas!D$6</f>
        <v>857.14285714285711</v>
      </c>
    </row>
    <row r="33" spans="1:13" x14ac:dyDescent="0.25">
      <c r="A33" s="2" t="s">
        <v>28</v>
      </c>
      <c r="B33" s="25" t="s">
        <v>31</v>
      </c>
      <c r="C33" s="25"/>
      <c r="D33" s="25"/>
      <c r="E33" s="2">
        <v>14.7</v>
      </c>
      <c r="G33" s="1">
        <f>((Fórmulas!C$6/Fórmulas!D$6)/Fórmulas!E$6)*E33</f>
        <v>36</v>
      </c>
      <c r="H33" s="1">
        <f>G33*Fórmulas!B$9</f>
        <v>12600</v>
      </c>
      <c r="I33" s="7">
        <f t="shared" si="1"/>
        <v>24.5</v>
      </c>
      <c r="K33" s="1">
        <v>1</v>
      </c>
      <c r="L33" s="1">
        <f>((Fórmulas!C$6/Fórmulas!D$6)/0.7)*K33</f>
        <v>2.4489795918367347</v>
      </c>
      <c r="M33" s="1">
        <f>L33*Fórmulas!D$6</f>
        <v>857.14285714285711</v>
      </c>
    </row>
    <row r="34" spans="1:13" x14ac:dyDescent="0.25">
      <c r="A34" s="2" t="s">
        <v>28</v>
      </c>
      <c r="B34" s="25" t="s">
        <v>30</v>
      </c>
      <c r="C34" s="25"/>
      <c r="D34" s="25"/>
      <c r="E34">
        <v>14</v>
      </c>
      <c r="G34" s="1">
        <f>((Fórmulas!C$6/Fórmulas!D$6)/Fórmulas!E$6)*E34</f>
        <v>34.285714285714285</v>
      </c>
      <c r="H34" s="1">
        <f>G34*Fórmulas!B$9</f>
        <v>12000</v>
      </c>
      <c r="I34" s="7">
        <f t="shared" si="1"/>
        <v>23.333333333333336</v>
      </c>
      <c r="K34" s="1">
        <v>1</v>
      </c>
      <c r="L34" s="1">
        <f>((Fórmulas!C$6/Fórmulas!D$6)/0.7)*K34</f>
        <v>2.4489795918367347</v>
      </c>
      <c r="M34" s="1">
        <f>L34*Fórmulas!D$6</f>
        <v>857.14285714285711</v>
      </c>
    </row>
    <row r="35" spans="1:13" x14ac:dyDescent="0.25">
      <c r="A35" s="2" t="s">
        <v>28</v>
      </c>
      <c r="B35" s="25" t="s">
        <v>29</v>
      </c>
      <c r="C35" s="25"/>
      <c r="D35" s="25"/>
      <c r="E35">
        <v>10</v>
      </c>
      <c r="G35" s="1">
        <f>((Fórmulas!C$6/Fórmulas!D$6)/Fórmulas!E$6)*E35</f>
        <v>24.489795918367349</v>
      </c>
      <c r="H35" s="1">
        <f>G35*Fórmulas!B$9</f>
        <v>8571.4285714285725</v>
      </c>
      <c r="I35" s="7">
        <f t="shared" si="1"/>
        <v>16.666666666666668</v>
      </c>
      <c r="K35" s="1">
        <v>1</v>
      </c>
      <c r="L35" s="1">
        <f>((Fórmulas!C$6/Fórmulas!D$6)/0.7)*K35</f>
        <v>2.4489795918367347</v>
      </c>
      <c r="M35" s="1">
        <f>L35*Fórmulas!D$6</f>
        <v>857.14285714285711</v>
      </c>
    </row>
    <row r="36" spans="1:13" x14ac:dyDescent="0.25">
      <c r="A36" s="2" t="s">
        <v>28</v>
      </c>
      <c r="B36" s="25" t="s">
        <v>32</v>
      </c>
      <c r="C36" s="25"/>
      <c r="D36" s="25"/>
      <c r="E36">
        <v>8</v>
      </c>
      <c r="G36" s="1">
        <f>((Fórmulas!C$6/Fórmulas!D$6)/Fórmulas!E$6)*E36</f>
        <v>19.591836734693878</v>
      </c>
      <c r="H36" s="1">
        <f>G36*Fórmulas!B$9</f>
        <v>6857.1428571428569</v>
      </c>
      <c r="I36" s="7">
        <f t="shared" si="1"/>
        <v>13.333333333333334</v>
      </c>
      <c r="K36" s="1">
        <v>1</v>
      </c>
      <c r="L36" s="1">
        <f>((Fórmulas!C$6/Fórmulas!D$6)/0.7)*K36</f>
        <v>2.4489795918367347</v>
      </c>
      <c r="M36" s="1">
        <f>L36*Fórmulas!D$6</f>
        <v>857.14285714285711</v>
      </c>
    </row>
    <row r="37" spans="1:13" x14ac:dyDescent="0.25">
      <c r="A37" s="2" t="s">
        <v>28</v>
      </c>
      <c r="B37" s="25" t="s">
        <v>33</v>
      </c>
      <c r="C37" s="25"/>
      <c r="D37" s="25"/>
      <c r="E37">
        <v>7</v>
      </c>
      <c r="G37" s="1">
        <f>((Fórmulas!C$6/Fórmulas!D$6)/Fórmulas!E$6)*E37</f>
        <v>17.142857142857142</v>
      </c>
      <c r="H37" s="1">
        <f>G37*Fórmulas!B$9</f>
        <v>6000</v>
      </c>
      <c r="I37" s="7">
        <f t="shared" si="1"/>
        <v>11.666666666666668</v>
      </c>
      <c r="K37" s="1">
        <v>1</v>
      </c>
      <c r="L37" s="1">
        <f>((Fórmulas!C$6/Fórmulas!D$6)/0.7)*K37</f>
        <v>2.4489795918367347</v>
      </c>
      <c r="M37" s="1">
        <f>L37*Fórmulas!D$6</f>
        <v>857.14285714285711</v>
      </c>
    </row>
    <row r="38" spans="1:13" s="2" customFormat="1" x14ac:dyDescent="0.25">
      <c r="A38" s="2" t="s">
        <v>28</v>
      </c>
      <c r="B38" s="27" t="s">
        <v>454</v>
      </c>
      <c r="C38" s="27"/>
      <c r="D38" s="27"/>
      <c r="E38" s="2">
        <v>13</v>
      </c>
      <c r="F38" s="4"/>
      <c r="G38" s="1">
        <f>((Fórmulas!C$6/Fórmulas!D$6)/Fórmulas!E$6)*E38</f>
        <v>31.836734693877553</v>
      </c>
      <c r="H38" s="1">
        <f>G38*Fórmulas!B$9</f>
        <v>11142.857142857143</v>
      </c>
      <c r="I38" s="7">
        <f t="shared" si="1"/>
        <v>21.666666666666668</v>
      </c>
      <c r="K38" s="1">
        <v>1</v>
      </c>
      <c r="L38" s="1">
        <f>((Fórmulas!C$6/Fórmulas!D$6)/0.7)*K38</f>
        <v>2.4489795918367347</v>
      </c>
      <c r="M38" s="1">
        <f>L38*Fórmulas!D$6</f>
        <v>857.14285714285711</v>
      </c>
    </row>
    <row r="39" spans="1:13" s="2" customFormat="1" x14ac:dyDescent="0.25">
      <c r="A39" s="2" t="s">
        <v>28</v>
      </c>
      <c r="B39" s="27" t="s">
        <v>157</v>
      </c>
      <c r="C39" s="27"/>
      <c r="D39" s="27"/>
      <c r="E39" s="2">
        <v>17</v>
      </c>
      <c r="F39" s="4"/>
      <c r="G39" s="1">
        <f>((Fórmulas!C$6/Fórmulas!D$6)/Fórmulas!E$6)*E39</f>
        <v>41.632653061224488</v>
      </c>
      <c r="H39" s="1">
        <f>G39*Fórmulas!B$9</f>
        <v>14571.428571428571</v>
      </c>
      <c r="I39" s="7">
        <f t="shared" si="1"/>
        <v>28.333333333333336</v>
      </c>
      <c r="K39" s="1">
        <v>1</v>
      </c>
      <c r="L39" s="1">
        <f>((Fórmulas!C$6/Fórmulas!D$6)/0.7)*K39</f>
        <v>2.4489795918367347</v>
      </c>
      <c r="M39" s="1">
        <f>L39*Fórmulas!D$6</f>
        <v>857.14285714285711</v>
      </c>
    </row>
    <row r="40" spans="1:13" x14ac:dyDescent="0.25">
      <c r="A40" s="2" t="s">
        <v>28</v>
      </c>
      <c r="B40" s="25" t="s">
        <v>38</v>
      </c>
      <c r="C40" s="25"/>
      <c r="D40" s="25"/>
      <c r="E40">
        <v>25</v>
      </c>
      <c r="G40" s="1">
        <f>((Fórmulas!C$6/Fórmulas!D$6)/Fórmulas!E$6)*E40</f>
        <v>61.224489795918366</v>
      </c>
      <c r="H40" s="1">
        <f>G40*Fórmulas!B$9</f>
        <v>21428.571428571428</v>
      </c>
      <c r="I40" s="7">
        <f t="shared" si="1"/>
        <v>41.666666666666671</v>
      </c>
      <c r="K40" s="1">
        <v>1</v>
      </c>
      <c r="L40" s="1">
        <f>((Fórmulas!C$6/Fórmulas!D$6)/0.7)*K40</f>
        <v>2.4489795918367347</v>
      </c>
      <c r="M40" s="1">
        <f>L40*Fórmulas!D$6</f>
        <v>857.14285714285711</v>
      </c>
    </row>
    <row r="41" spans="1:13" x14ac:dyDescent="0.25">
      <c r="A41" t="s">
        <v>34</v>
      </c>
      <c r="B41" s="25" t="s">
        <v>35</v>
      </c>
      <c r="C41" s="25"/>
      <c r="D41" s="25"/>
      <c r="E41">
        <v>22</v>
      </c>
      <c r="G41" s="1">
        <f>((Fórmulas!C$6/Fórmulas!D$6)/Fórmulas!E$6)*E41</f>
        <v>53.877551020408163</v>
      </c>
      <c r="H41" s="1">
        <f>G41*Fórmulas!B$9</f>
        <v>18857.142857142859</v>
      </c>
      <c r="I41" s="7">
        <f t="shared" si="1"/>
        <v>36.666666666666671</v>
      </c>
      <c r="K41" s="1">
        <v>1</v>
      </c>
      <c r="L41" s="1">
        <f>((Fórmulas!C$6/Fórmulas!D$6)/0.7)*K41</f>
        <v>2.4489795918367347</v>
      </c>
      <c r="M41" s="1">
        <f>L41*Fórmulas!D$6</f>
        <v>857.14285714285711</v>
      </c>
    </row>
    <row r="42" spans="1:13" x14ac:dyDescent="0.25">
      <c r="A42" t="s">
        <v>34</v>
      </c>
      <c r="B42" s="25" t="s">
        <v>36</v>
      </c>
      <c r="C42" s="25"/>
      <c r="D42" s="25"/>
      <c r="E42">
        <v>13</v>
      </c>
      <c r="G42" s="1">
        <f>((Fórmulas!C$6/Fórmulas!D$6)/Fórmulas!E$6)*E42</f>
        <v>31.836734693877553</v>
      </c>
      <c r="H42" s="1">
        <f>G42*Fórmulas!B$9</f>
        <v>11142.857142857143</v>
      </c>
      <c r="I42" s="7">
        <f t="shared" si="1"/>
        <v>21.666666666666668</v>
      </c>
      <c r="K42" s="1">
        <v>1</v>
      </c>
      <c r="L42" s="1">
        <f>((Fórmulas!C$6/Fórmulas!D$6)/0.7)*K42</f>
        <v>2.4489795918367347</v>
      </c>
      <c r="M42" s="1">
        <f>L42*Fórmulas!D$6</f>
        <v>857.14285714285711</v>
      </c>
    </row>
    <row r="43" spans="1:13" x14ac:dyDescent="0.25">
      <c r="A43" t="s">
        <v>34</v>
      </c>
      <c r="B43" s="25" t="s">
        <v>39</v>
      </c>
      <c r="C43" s="25"/>
      <c r="D43" s="25"/>
      <c r="E43">
        <v>4.8</v>
      </c>
      <c r="G43" s="1">
        <f>((Fórmulas!C$6/Fórmulas!D$6)/Fórmulas!E$6)*E43</f>
        <v>11.755102040816327</v>
      </c>
      <c r="H43" s="1">
        <f>G43*Fórmulas!B$9</f>
        <v>4114.2857142857147</v>
      </c>
      <c r="I43" s="7">
        <f t="shared" si="1"/>
        <v>8</v>
      </c>
      <c r="K43" s="1">
        <v>1</v>
      </c>
      <c r="L43" s="1">
        <f>((Fórmulas!C$6/Fórmulas!D$6)/0.7)*K43</f>
        <v>2.4489795918367347</v>
      </c>
      <c r="M43" s="1">
        <f>L43*Fórmulas!D$6</f>
        <v>857.14285714285711</v>
      </c>
    </row>
    <row r="44" spans="1:13" x14ac:dyDescent="0.25">
      <c r="A44" t="s">
        <v>34</v>
      </c>
      <c r="B44" s="25" t="s">
        <v>40</v>
      </c>
      <c r="C44" s="25"/>
      <c r="D44" s="25"/>
      <c r="E44">
        <v>6</v>
      </c>
      <c r="G44" s="1">
        <f>((Fórmulas!C$6/Fórmulas!D$6)/Fórmulas!E$6)*E44</f>
        <v>14.693877551020408</v>
      </c>
      <c r="H44" s="1">
        <f>G44*Fórmulas!B$9</f>
        <v>5142.8571428571431</v>
      </c>
      <c r="I44" s="7">
        <f t="shared" si="1"/>
        <v>10</v>
      </c>
      <c r="K44" s="1">
        <v>1</v>
      </c>
      <c r="L44" s="1">
        <f>((Fórmulas!C$6/Fórmulas!D$6)/0.7)*K44</f>
        <v>2.4489795918367347</v>
      </c>
      <c r="M44" s="1">
        <f>L44*Fórmulas!D$6</f>
        <v>857.14285714285711</v>
      </c>
    </row>
    <row r="45" spans="1:13" x14ac:dyDescent="0.25">
      <c r="A45" t="s">
        <v>34</v>
      </c>
      <c r="B45" s="25" t="s">
        <v>41</v>
      </c>
      <c r="C45" s="25"/>
      <c r="D45" s="25"/>
      <c r="E45">
        <v>7.3</v>
      </c>
      <c r="G45" s="1">
        <f>((Fórmulas!C$6/Fórmulas!D$6)/Fórmulas!E$6)*E45</f>
        <v>17.877551020408163</v>
      </c>
      <c r="H45" s="1">
        <f>G45*Fórmulas!B$9</f>
        <v>6257.1428571428569</v>
      </c>
      <c r="I45" s="7">
        <f t="shared" si="1"/>
        <v>12.166666666666666</v>
      </c>
      <c r="K45" s="1">
        <v>1</v>
      </c>
      <c r="L45" s="1">
        <f>((Fórmulas!C$6/Fórmulas!D$6)/0.7)*K45</f>
        <v>2.4489795918367347</v>
      </c>
      <c r="M45" s="1">
        <f>L45*Fórmulas!D$6</f>
        <v>857.14285714285711</v>
      </c>
    </row>
    <row r="46" spans="1:13" x14ac:dyDescent="0.25">
      <c r="A46" t="s">
        <v>34</v>
      </c>
      <c r="B46" s="25" t="s">
        <v>42</v>
      </c>
      <c r="C46" s="25"/>
      <c r="D46" s="25"/>
      <c r="E46">
        <v>12</v>
      </c>
      <c r="G46" s="1">
        <f>((Fórmulas!C$6/Fórmulas!D$6)/Fórmulas!E$6)*E46</f>
        <v>29.387755102040817</v>
      </c>
      <c r="H46" s="1">
        <f>G46*Fórmulas!B$9</f>
        <v>10285.714285714286</v>
      </c>
      <c r="I46" s="7">
        <f t="shared" si="1"/>
        <v>20</v>
      </c>
      <c r="K46" s="1">
        <v>1</v>
      </c>
      <c r="L46" s="1">
        <f>((Fórmulas!C$6/Fórmulas!D$6)/0.7)*K46</f>
        <v>2.4489795918367347</v>
      </c>
      <c r="M46" s="1">
        <f>L46*Fórmulas!D$6</f>
        <v>857.14285714285711</v>
      </c>
    </row>
    <row r="47" spans="1:13" x14ac:dyDescent="0.25">
      <c r="B47" s="25"/>
      <c r="C47" s="25"/>
      <c r="D47" s="25"/>
      <c r="E47">
        <v>0</v>
      </c>
      <c r="G47" s="1">
        <f>((Fórmulas!C$6/Fórmulas!D$6)/Fórmulas!E$6)*E47</f>
        <v>0</v>
      </c>
      <c r="H47" s="1">
        <f>G47*Fórmulas!B$9</f>
        <v>0</v>
      </c>
      <c r="I47" s="7">
        <f t="shared" si="1"/>
        <v>0</v>
      </c>
      <c r="K47" s="1">
        <v>1</v>
      </c>
      <c r="L47" s="1">
        <f>((Fórmulas!C$6/Fórmulas!D$6)/0.7)*K47</f>
        <v>2.4489795918367347</v>
      </c>
      <c r="M47" s="1">
        <f>L47*Fórmulas!D$6</f>
        <v>857.14285714285711</v>
      </c>
    </row>
    <row r="48" spans="1:13" x14ac:dyDescent="0.25">
      <c r="B48" s="26"/>
      <c r="C48" s="26"/>
      <c r="D48" s="26"/>
      <c r="E48">
        <v>0</v>
      </c>
      <c r="G48" s="1">
        <f>((Fórmulas!C$6/Fórmulas!D$6)/Fórmulas!E$6)*E48</f>
        <v>0</v>
      </c>
      <c r="H48" s="1">
        <f>G48*Fórmulas!B$9</f>
        <v>0</v>
      </c>
      <c r="I48" s="7">
        <f t="shared" si="1"/>
        <v>0</v>
      </c>
      <c r="K48" s="1">
        <v>1</v>
      </c>
      <c r="L48" s="1">
        <f>((Fórmulas!C$6/Fórmulas!D$6)/0.7)*K48</f>
        <v>2.4489795918367347</v>
      </c>
      <c r="M48" s="1">
        <f>L48*Fórmulas!D$6</f>
        <v>857.14285714285711</v>
      </c>
    </row>
    <row r="49" spans="1:13" x14ac:dyDescent="0.25">
      <c r="A49" s="2"/>
      <c r="B49" s="26"/>
      <c r="C49" s="26"/>
      <c r="D49" s="26"/>
      <c r="E49" s="2">
        <v>0</v>
      </c>
      <c r="G49" s="1">
        <f>((Fórmulas!C$6/Fórmulas!D$6)/Fórmulas!E$6)*E49</f>
        <v>0</v>
      </c>
      <c r="H49" s="1">
        <f>G49*Fórmulas!B$9</f>
        <v>0</v>
      </c>
      <c r="I49" s="7">
        <f t="shared" si="1"/>
        <v>0</v>
      </c>
      <c r="K49" s="1">
        <v>1</v>
      </c>
      <c r="L49" s="1">
        <f>((Fórmulas!C$6/Fórmulas!D$6)/0.7)*K49</f>
        <v>2.4489795918367347</v>
      </c>
      <c r="M49" s="1">
        <f>L49*Fórmulas!D$6</f>
        <v>857.14285714285711</v>
      </c>
    </row>
    <row r="50" spans="1:13" x14ac:dyDescent="0.25">
      <c r="A50" s="2"/>
      <c r="B50" s="26"/>
      <c r="C50" s="26"/>
      <c r="D50" s="26"/>
      <c r="E50" s="2">
        <v>0</v>
      </c>
      <c r="G50" s="1">
        <f>((Fórmulas!C$6/Fórmulas!D$6)/Fórmulas!E$6)*E50</f>
        <v>0</v>
      </c>
      <c r="H50" s="1">
        <f>G50*Fórmulas!B$9</f>
        <v>0</v>
      </c>
      <c r="I50" s="7">
        <f t="shared" si="1"/>
        <v>0</v>
      </c>
      <c r="K50" s="1">
        <v>1</v>
      </c>
      <c r="L50" s="1">
        <f>((Fórmulas!C$6/Fórmulas!D$6)/0.7)*K50</f>
        <v>2.4489795918367347</v>
      </c>
      <c r="M50" s="1">
        <f>L50*Fórmulas!D$6</f>
        <v>857.14285714285711</v>
      </c>
    </row>
    <row r="51" spans="1:13" x14ac:dyDescent="0.25">
      <c r="A51" s="11" t="s">
        <v>43</v>
      </c>
      <c r="B51" s="25" t="s">
        <v>156</v>
      </c>
      <c r="C51" s="25"/>
      <c r="D51" s="25"/>
      <c r="E51" s="11">
        <v>7.5</v>
      </c>
      <c r="G51" s="1">
        <f>((Fórmulas!C$6/Fórmulas!D$6)/Fórmulas!E$6)*E51</f>
        <v>18.367346938775512</v>
      </c>
      <c r="H51" s="1">
        <f>G51*Fórmulas!B$9</f>
        <v>6428.5714285714294</v>
      </c>
      <c r="I51" s="7">
        <f t="shared" si="1"/>
        <v>12.5</v>
      </c>
      <c r="K51" s="1">
        <v>1</v>
      </c>
      <c r="L51" s="1">
        <f>((Fórmulas!C$6/Fórmulas!D$6)/0.7)*K51</f>
        <v>2.4489795918367347</v>
      </c>
      <c r="M51" s="1">
        <f>L51*Fórmulas!D$6</f>
        <v>857.14285714285711</v>
      </c>
    </row>
    <row r="52" spans="1:13" x14ac:dyDescent="0.25">
      <c r="A52" s="11" t="s">
        <v>43</v>
      </c>
      <c r="B52" s="25" t="s">
        <v>143</v>
      </c>
      <c r="C52" s="25"/>
      <c r="D52" s="25"/>
      <c r="E52" s="11">
        <v>7.5</v>
      </c>
      <c r="G52" s="1">
        <f>((Fórmulas!C$6/Fórmulas!D$6)/Fórmulas!E$6)*E52</f>
        <v>18.367346938775512</v>
      </c>
      <c r="H52" s="1">
        <f>G52*Fórmulas!B$9</f>
        <v>6428.5714285714294</v>
      </c>
      <c r="I52" s="7">
        <f t="shared" si="1"/>
        <v>12.5</v>
      </c>
      <c r="K52" s="1">
        <v>1</v>
      </c>
      <c r="L52" s="1">
        <f>((Fórmulas!C$6/Fórmulas!D$6)/0.7)*K52</f>
        <v>2.4489795918367347</v>
      </c>
      <c r="M52" s="1">
        <f>L52*Fórmulas!D$6</f>
        <v>857.14285714285711</v>
      </c>
    </row>
    <row r="53" spans="1:13" x14ac:dyDescent="0.25">
      <c r="A53" s="2"/>
      <c r="B53" s="26"/>
      <c r="C53" s="26"/>
      <c r="D53" s="26"/>
      <c r="E53" s="2">
        <v>0</v>
      </c>
      <c r="G53" s="1">
        <f>((Fórmulas!C$6/Fórmulas!D$6)/Fórmulas!E$6)*E53</f>
        <v>0</v>
      </c>
      <c r="H53" s="1">
        <f>G53*Fórmulas!B$9</f>
        <v>0</v>
      </c>
      <c r="I53" s="7">
        <f t="shared" si="1"/>
        <v>0</v>
      </c>
      <c r="K53" s="1">
        <v>1</v>
      </c>
      <c r="L53" s="1">
        <f>((Fórmulas!C$6/Fórmulas!D$6)/0.7)*K53</f>
        <v>2.4489795918367347</v>
      </c>
      <c r="M53" s="1">
        <f>L53*Fórmulas!D$6</f>
        <v>857.14285714285711</v>
      </c>
    </row>
    <row r="54" spans="1:13" x14ac:dyDescent="0.25">
      <c r="A54" s="2"/>
      <c r="B54" s="26"/>
      <c r="C54" s="26"/>
      <c r="D54" s="26"/>
      <c r="E54" s="2">
        <v>0</v>
      </c>
      <c r="G54" s="1">
        <f>((Fórmulas!C$6/Fórmulas!D$6)/Fórmulas!E$6)*E54</f>
        <v>0</v>
      </c>
      <c r="H54" s="1">
        <f>G54*Fórmulas!B$9</f>
        <v>0</v>
      </c>
      <c r="I54" s="7">
        <f t="shared" si="1"/>
        <v>0</v>
      </c>
      <c r="K54" s="1">
        <v>1</v>
      </c>
      <c r="L54" s="1">
        <f>((Fórmulas!C$6/Fórmulas!D$6)/0.7)*K54</f>
        <v>2.4489795918367347</v>
      </c>
      <c r="M54" s="1">
        <f>L54*Fórmulas!D$6</f>
        <v>857.14285714285711</v>
      </c>
    </row>
    <row r="55" spans="1:13" x14ac:dyDescent="0.25">
      <c r="A55" s="2"/>
      <c r="B55" s="26"/>
      <c r="C55" s="26"/>
      <c r="D55" s="26"/>
      <c r="E55" s="2">
        <v>0</v>
      </c>
      <c r="G55" s="1">
        <f>((Fórmulas!C$6/Fórmulas!D$6)/Fórmulas!E$6)*E55</f>
        <v>0</v>
      </c>
      <c r="H55" s="1">
        <f>G55*Fórmulas!B$9</f>
        <v>0</v>
      </c>
      <c r="I55" s="7">
        <f t="shared" si="1"/>
        <v>0</v>
      </c>
      <c r="K55" s="1">
        <v>1</v>
      </c>
      <c r="L55" s="1">
        <f>((Fórmulas!C$6/Fórmulas!D$6)/0.7)*K55</f>
        <v>2.4489795918367347</v>
      </c>
      <c r="M55" s="1">
        <f>L55*Fórmulas!D$6</f>
        <v>857.14285714285711</v>
      </c>
    </row>
    <row r="56" spans="1:13" x14ac:dyDescent="0.25">
      <c r="A56" s="2"/>
      <c r="B56" s="26"/>
      <c r="C56" s="26"/>
      <c r="D56" s="26"/>
      <c r="E56" s="2">
        <v>0</v>
      </c>
      <c r="G56" s="1">
        <f>((Fórmulas!C$6/Fórmulas!D$6)/Fórmulas!E$6)*E56</f>
        <v>0</v>
      </c>
      <c r="H56" s="1">
        <f>G56*Fórmulas!B$9</f>
        <v>0</v>
      </c>
      <c r="I56" s="7">
        <f t="shared" si="1"/>
        <v>0</v>
      </c>
      <c r="K56" s="1">
        <v>1</v>
      </c>
      <c r="L56" s="1">
        <f>((Fórmulas!C$6/Fórmulas!D$6)/0.7)*K56</f>
        <v>2.4489795918367347</v>
      </c>
      <c r="M56" s="1">
        <f>L56*Fórmulas!D$6</f>
        <v>857.14285714285711</v>
      </c>
    </row>
    <row r="57" spans="1:13" x14ac:dyDescent="0.25">
      <c r="A57" s="2" t="s">
        <v>719</v>
      </c>
      <c r="B57" s="26" t="s">
        <v>715</v>
      </c>
      <c r="C57" s="26"/>
      <c r="D57" s="26"/>
      <c r="E57" s="2">
        <v>5.4</v>
      </c>
      <c r="G57" s="1">
        <f>((Fórmulas!C$6/Fórmulas!D$6)/Fórmulas!E$6)*E57</f>
        <v>13.224489795918368</v>
      </c>
      <c r="H57" s="1">
        <f>G57*Fórmulas!B$9</f>
        <v>4628.5714285714284</v>
      </c>
      <c r="I57" s="7">
        <f t="shared" si="1"/>
        <v>9.0000000000000018</v>
      </c>
      <c r="K57" s="1">
        <v>1</v>
      </c>
      <c r="L57" s="1">
        <f>((Fórmulas!C$6/Fórmulas!D$6)/0.7)*K57</f>
        <v>2.4489795918367347</v>
      </c>
      <c r="M57" s="1">
        <f>L57*Fórmulas!D$6</f>
        <v>857.14285714285711</v>
      </c>
    </row>
    <row r="58" spans="1:13" x14ac:dyDescent="0.25">
      <c r="A58" s="21" t="s">
        <v>719</v>
      </c>
      <c r="B58" s="25" t="s">
        <v>720</v>
      </c>
      <c r="C58" s="25"/>
      <c r="D58" s="25"/>
      <c r="E58" s="2">
        <v>5.4</v>
      </c>
      <c r="G58" s="1">
        <f>((Fórmulas!C$6/Fórmulas!D$6)/Fórmulas!E$6)*E58</f>
        <v>13.224489795918368</v>
      </c>
      <c r="H58" s="1">
        <f>G58*Fórmulas!B$9</f>
        <v>4628.5714285714284</v>
      </c>
      <c r="I58" s="7">
        <f t="shared" si="1"/>
        <v>9.0000000000000018</v>
      </c>
      <c r="K58" s="1">
        <v>1</v>
      </c>
      <c r="L58" s="1">
        <f>((Fórmulas!C$6/Fórmulas!D$6)/0.7)*K58</f>
        <v>2.4489795918367347</v>
      </c>
      <c r="M58" s="1">
        <f>L58*Fórmulas!D$6</f>
        <v>857.14285714285711</v>
      </c>
    </row>
    <row r="59" spans="1:13" s="21" customFormat="1" x14ac:dyDescent="0.25">
      <c r="A59" s="21" t="s">
        <v>719</v>
      </c>
      <c r="B59" s="26" t="s">
        <v>721</v>
      </c>
      <c r="C59" s="26"/>
      <c r="D59" s="26"/>
      <c r="E59" s="21">
        <v>5.4</v>
      </c>
      <c r="G59" s="1">
        <f>((Fórmulas!C$6/Fórmulas!D$6)/Fórmulas!E$6)*E59</f>
        <v>13.224489795918368</v>
      </c>
      <c r="H59" s="1">
        <f>G59*Fórmulas!B$9</f>
        <v>4628.5714285714284</v>
      </c>
      <c r="I59" s="7">
        <f t="shared" ref="I59:I68" si="2">E59/0.6</f>
        <v>9.0000000000000018</v>
      </c>
      <c r="K59" s="1">
        <v>1</v>
      </c>
      <c r="L59" s="1">
        <f>((Fórmulas!C$6/Fórmulas!D$6)/0.7)*K59</f>
        <v>2.4489795918367347</v>
      </c>
      <c r="M59" s="1">
        <f>L59*Fórmulas!D$6</f>
        <v>857.14285714285711</v>
      </c>
    </row>
    <row r="60" spans="1:13" s="21" customFormat="1" x14ac:dyDescent="0.25">
      <c r="A60" s="21" t="s">
        <v>719</v>
      </c>
      <c r="B60" s="25" t="s">
        <v>704</v>
      </c>
      <c r="C60" s="25"/>
      <c r="D60" s="25"/>
      <c r="E60" s="21">
        <v>6.2</v>
      </c>
      <c r="G60" s="1">
        <f>((Fórmulas!C$6/Fórmulas!D$6)/Fórmulas!E$6)*E60</f>
        <v>15.183673469387756</v>
      </c>
      <c r="H60" s="1">
        <f>G60*Fórmulas!B$9</f>
        <v>5314.2857142857147</v>
      </c>
      <c r="I60" s="7">
        <f t="shared" si="2"/>
        <v>10.333333333333334</v>
      </c>
      <c r="K60" s="1">
        <v>1</v>
      </c>
      <c r="L60" s="1">
        <f>((Fórmulas!C$6/Fórmulas!D$6)/0.7)*K60</f>
        <v>2.4489795918367347</v>
      </c>
      <c r="M60" s="1">
        <f>L60*Fórmulas!D$6</f>
        <v>857.14285714285711</v>
      </c>
    </row>
    <row r="61" spans="1:13" s="21" customFormat="1" x14ac:dyDescent="0.25">
      <c r="A61" s="21" t="s">
        <v>719</v>
      </c>
      <c r="B61" s="25" t="s">
        <v>722</v>
      </c>
      <c r="C61" s="25"/>
      <c r="D61" s="25"/>
      <c r="E61" s="21">
        <v>5.4</v>
      </c>
      <c r="G61" s="1">
        <f>((Fórmulas!C$6/Fórmulas!D$6)/Fórmulas!E$6)*E61</f>
        <v>13.224489795918368</v>
      </c>
      <c r="H61" s="1">
        <f>G61*Fórmulas!B$9</f>
        <v>4628.5714285714284</v>
      </c>
      <c r="I61" s="7">
        <f t="shared" si="2"/>
        <v>9.0000000000000018</v>
      </c>
      <c r="K61" s="1">
        <v>1</v>
      </c>
      <c r="L61" s="1">
        <f>((Fórmulas!C$6/Fórmulas!D$6)/0.7)*K61</f>
        <v>2.4489795918367347</v>
      </c>
      <c r="M61" s="1">
        <f>L61*Fórmulas!D$6</f>
        <v>857.14285714285711</v>
      </c>
    </row>
    <row r="62" spans="1:13" s="21" customFormat="1" x14ac:dyDescent="0.25">
      <c r="A62" s="21" t="s">
        <v>719</v>
      </c>
      <c r="B62" s="25" t="s">
        <v>723</v>
      </c>
      <c r="C62" s="25"/>
      <c r="D62" s="25"/>
      <c r="E62" s="21">
        <v>6.2</v>
      </c>
      <c r="G62" s="1">
        <f>((Fórmulas!C$6/Fórmulas!D$6)/Fórmulas!E$6)*E62</f>
        <v>15.183673469387756</v>
      </c>
      <c r="H62" s="1">
        <f>G62*Fórmulas!B$9</f>
        <v>5314.2857142857147</v>
      </c>
      <c r="I62" s="7">
        <f t="shared" si="2"/>
        <v>10.333333333333334</v>
      </c>
      <c r="K62" s="1">
        <v>1</v>
      </c>
      <c r="L62" s="1">
        <f>((Fórmulas!C$6/Fórmulas!D$6)/0.7)*K62</f>
        <v>2.4489795918367347</v>
      </c>
      <c r="M62" s="1">
        <f>L62*Fórmulas!D$6</f>
        <v>857.14285714285711</v>
      </c>
    </row>
    <row r="63" spans="1:13" s="21" customFormat="1" x14ac:dyDescent="0.25">
      <c r="B63" s="26"/>
      <c r="C63" s="26"/>
      <c r="D63" s="26"/>
      <c r="E63" s="21">
        <v>0</v>
      </c>
      <c r="G63" s="1">
        <f>((Fórmulas!C$6/Fórmulas!D$6)/Fórmulas!E$6)*E63</f>
        <v>0</v>
      </c>
      <c r="H63" s="1">
        <f>G63*Fórmulas!B$9</f>
        <v>0</v>
      </c>
      <c r="I63" s="7">
        <f t="shared" si="2"/>
        <v>0</v>
      </c>
      <c r="K63" s="1">
        <v>1</v>
      </c>
      <c r="L63" s="1">
        <f>((Fórmulas!C$6/Fórmulas!D$6)/0.7)*K63</f>
        <v>2.4489795918367347</v>
      </c>
      <c r="M63" s="1">
        <f>L63*Fórmulas!D$6</f>
        <v>857.14285714285711</v>
      </c>
    </row>
    <row r="64" spans="1:13" s="21" customFormat="1" x14ac:dyDescent="0.25">
      <c r="B64" s="26"/>
      <c r="C64" s="26"/>
      <c r="D64" s="26"/>
      <c r="E64" s="21">
        <v>0</v>
      </c>
      <c r="G64" s="1">
        <f>((Fórmulas!C$6/Fórmulas!D$6)/Fórmulas!E$6)*E64</f>
        <v>0</v>
      </c>
      <c r="H64" s="1">
        <f>G64*Fórmulas!B$9</f>
        <v>0</v>
      </c>
      <c r="I64" s="7">
        <f t="shared" si="2"/>
        <v>0</v>
      </c>
      <c r="K64" s="1">
        <v>1</v>
      </c>
      <c r="L64" s="1">
        <f>((Fórmulas!C$6/Fórmulas!D$6)/0.7)*K64</f>
        <v>2.4489795918367347</v>
      </c>
      <c r="M64" s="1">
        <f>L64*Fórmulas!D$6</f>
        <v>857.14285714285711</v>
      </c>
    </row>
    <row r="65" spans="1:13" s="21" customFormat="1" x14ac:dyDescent="0.25">
      <c r="B65" s="26"/>
      <c r="C65" s="26"/>
      <c r="D65" s="26"/>
      <c r="E65" s="21">
        <v>0</v>
      </c>
      <c r="G65" s="1">
        <f>((Fórmulas!C$6/Fórmulas!D$6)/Fórmulas!E$6)*E65</f>
        <v>0</v>
      </c>
      <c r="H65" s="1">
        <f>G65*Fórmulas!B$9</f>
        <v>0</v>
      </c>
      <c r="I65" s="7">
        <f t="shared" si="2"/>
        <v>0</v>
      </c>
      <c r="K65" s="1">
        <v>1</v>
      </c>
      <c r="L65" s="1">
        <f>((Fórmulas!C$6/Fórmulas!D$6)/0.7)*K65</f>
        <v>2.4489795918367347</v>
      </c>
      <c r="M65" s="1">
        <f>L65*Fórmulas!D$6</f>
        <v>857.14285714285711</v>
      </c>
    </row>
    <row r="66" spans="1:13" s="21" customFormat="1" x14ac:dyDescent="0.25">
      <c r="B66" s="26"/>
      <c r="C66" s="26"/>
      <c r="D66" s="26"/>
      <c r="E66" s="21">
        <v>0</v>
      </c>
      <c r="G66" s="1">
        <f>((Fórmulas!C$6/Fórmulas!D$6)/Fórmulas!E$6)*E66</f>
        <v>0</v>
      </c>
      <c r="H66" s="1">
        <f>G66*Fórmulas!B$9</f>
        <v>0</v>
      </c>
      <c r="I66" s="7">
        <f t="shared" si="2"/>
        <v>0</v>
      </c>
      <c r="K66" s="1">
        <v>1</v>
      </c>
      <c r="L66" s="1">
        <f>((Fórmulas!C$6/Fórmulas!D$6)/0.7)*K66</f>
        <v>2.4489795918367347</v>
      </c>
      <c r="M66" s="1">
        <f>L66*Fórmulas!D$6</f>
        <v>857.14285714285711</v>
      </c>
    </row>
    <row r="67" spans="1:13" s="21" customFormat="1" x14ac:dyDescent="0.25">
      <c r="B67" s="26"/>
      <c r="C67" s="26"/>
      <c r="D67" s="26"/>
      <c r="E67" s="21">
        <v>0</v>
      </c>
      <c r="G67" s="1">
        <f>((Fórmulas!C$6/Fórmulas!D$6)/Fórmulas!E$6)*E67</f>
        <v>0</v>
      </c>
      <c r="H67" s="1">
        <f>G67*Fórmulas!B$9</f>
        <v>0</v>
      </c>
      <c r="I67" s="7">
        <f t="shared" si="2"/>
        <v>0</v>
      </c>
      <c r="K67" s="1">
        <v>1</v>
      </c>
      <c r="L67" s="1">
        <f>((Fórmulas!C$6/Fórmulas!D$6)/0.7)*K67</f>
        <v>2.4489795918367347</v>
      </c>
      <c r="M67" s="1">
        <f>L67*Fórmulas!D$6</f>
        <v>857.14285714285711</v>
      </c>
    </row>
    <row r="68" spans="1:13" x14ac:dyDescent="0.25">
      <c r="A68" s="21"/>
      <c r="B68" s="25"/>
      <c r="C68" s="25"/>
      <c r="D68" s="25"/>
      <c r="E68" s="21">
        <v>0</v>
      </c>
      <c r="F68" s="21"/>
      <c r="G68" s="1">
        <f>((Fórmulas!C$6/Fórmulas!D$6)/Fórmulas!E$6)*E68</f>
        <v>0</v>
      </c>
      <c r="H68" s="1">
        <f>G68*Fórmulas!B$9</f>
        <v>0</v>
      </c>
      <c r="I68" s="7">
        <f t="shared" si="2"/>
        <v>0</v>
      </c>
      <c r="J68" s="21"/>
      <c r="K68" s="1">
        <v>1</v>
      </c>
      <c r="L68" s="1">
        <f>((Fórmulas!C$6/Fórmulas!D$6)/0.7)*K68</f>
        <v>2.4489795918367347</v>
      </c>
      <c r="M68" s="1">
        <f>L68*Fórmulas!D$6</f>
        <v>857.14285714285711</v>
      </c>
    </row>
    <row r="69" spans="1:13" x14ac:dyDescent="0.25">
      <c r="A69" s="21" t="s">
        <v>421</v>
      </c>
      <c r="B69" s="25" t="s">
        <v>422</v>
      </c>
      <c r="C69" s="25"/>
      <c r="D69" s="25"/>
      <c r="E69" s="21">
        <v>5.35</v>
      </c>
      <c r="F69" s="21"/>
      <c r="G69" s="1">
        <f>((Fórmulas!C$6/Fórmulas!D$6)/Fórmulas!E$6)*E69</f>
        <v>13.102040816326531</v>
      </c>
      <c r="H69" s="1">
        <f>G69*Fórmulas!B$9</f>
        <v>4585.7142857142853</v>
      </c>
      <c r="I69" s="7">
        <f t="shared" si="1"/>
        <v>8.9166666666666661</v>
      </c>
      <c r="J69" s="21"/>
      <c r="K69" s="1">
        <v>1</v>
      </c>
      <c r="L69" s="1">
        <f>((Fórmulas!C$6/Fórmulas!D$6)/0.7)*K69</f>
        <v>2.4489795918367347</v>
      </c>
      <c r="M69" s="1">
        <f>L69*Fórmulas!D$6</f>
        <v>857.14285714285711</v>
      </c>
    </row>
    <row r="70" spans="1:13" x14ac:dyDescent="0.25">
      <c r="A70" s="2"/>
      <c r="B70" s="26"/>
      <c r="C70" s="26"/>
      <c r="D70" s="26"/>
      <c r="E70" s="2">
        <v>0</v>
      </c>
      <c r="G70" s="1">
        <f>((Fórmulas!C$6/Fórmulas!D$6)/Fórmulas!E$6)*E70</f>
        <v>0</v>
      </c>
      <c r="H70" s="1">
        <f>G70*Fórmulas!B$9</f>
        <v>0</v>
      </c>
      <c r="I70" s="7">
        <f t="shared" si="1"/>
        <v>0</v>
      </c>
      <c r="K70" s="1">
        <v>1</v>
      </c>
      <c r="L70" s="1">
        <f>((Fórmulas!C$6/Fórmulas!D$6)/0.7)*K70</f>
        <v>2.4489795918367347</v>
      </c>
      <c r="M70" s="1">
        <f>L70*Fórmulas!D$6</f>
        <v>857.14285714285711</v>
      </c>
    </row>
    <row r="71" spans="1:13" x14ac:dyDescent="0.25">
      <c r="A71" s="2"/>
      <c r="B71" s="26"/>
      <c r="C71" s="26"/>
      <c r="D71" s="26"/>
      <c r="E71" s="2">
        <v>0</v>
      </c>
      <c r="G71" s="1">
        <f>((Fórmulas!C$6/Fórmulas!D$6)/Fórmulas!E$6)*E71</f>
        <v>0</v>
      </c>
      <c r="H71" s="1">
        <f>G71*Fórmulas!B$9</f>
        <v>0</v>
      </c>
      <c r="I71" s="7">
        <f t="shared" si="1"/>
        <v>0</v>
      </c>
      <c r="K71" s="1">
        <v>1</v>
      </c>
      <c r="L71" s="1">
        <f>((Fórmulas!C$6/Fórmulas!D$6)/0.7)*K71</f>
        <v>2.4489795918367347</v>
      </c>
      <c r="M71" s="1">
        <f>L71*Fórmulas!D$6</f>
        <v>857.14285714285711</v>
      </c>
    </row>
    <row r="72" spans="1:13" x14ac:dyDescent="0.25">
      <c r="A72" s="2"/>
      <c r="B72" s="26"/>
      <c r="C72" s="26"/>
      <c r="D72" s="26"/>
      <c r="E72" s="2">
        <v>0</v>
      </c>
      <c r="G72" s="1">
        <f>((Fórmulas!C$6/Fórmulas!D$6)/Fórmulas!E$6)*E72</f>
        <v>0</v>
      </c>
      <c r="H72" s="1">
        <f>G72*Fórmulas!B$9</f>
        <v>0</v>
      </c>
      <c r="I72" s="7">
        <f t="shared" si="1"/>
        <v>0</v>
      </c>
      <c r="K72" s="1">
        <v>1</v>
      </c>
      <c r="L72" s="1">
        <f>((Fórmulas!C$6/Fórmulas!D$6)/0.7)*K72</f>
        <v>2.4489795918367347</v>
      </c>
      <c r="M72" s="1">
        <f>L72*Fórmulas!D$6</f>
        <v>857.14285714285711</v>
      </c>
    </row>
    <row r="73" spans="1:13" x14ac:dyDescent="0.25">
      <c r="A73" s="2"/>
      <c r="B73" s="26"/>
      <c r="C73" s="26"/>
      <c r="D73" s="26"/>
      <c r="E73" s="2">
        <v>0</v>
      </c>
      <c r="G73" s="1">
        <f>((Fórmulas!C$6/Fórmulas!D$6)/Fórmulas!E$6)*E73</f>
        <v>0</v>
      </c>
      <c r="H73" s="1">
        <f>G73*Fórmulas!B$9</f>
        <v>0</v>
      </c>
      <c r="I73" s="7">
        <f t="shared" si="1"/>
        <v>0</v>
      </c>
      <c r="K73" s="1">
        <v>1</v>
      </c>
      <c r="L73" s="1">
        <f>((Fórmulas!C$6/Fórmulas!D$6)/0.7)*K73</f>
        <v>2.4489795918367347</v>
      </c>
      <c r="M73" s="1">
        <f>L73*Fórmulas!D$6</f>
        <v>857.14285714285711</v>
      </c>
    </row>
    <row r="74" spans="1:13" x14ac:dyDescent="0.25">
      <c r="A74" s="2" t="s">
        <v>714</v>
      </c>
      <c r="B74" s="26" t="s">
        <v>715</v>
      </c>
      <c r="C74" s="26"/>
      <c r="D74" s="26"/>
      <c r="E74" s="2">
        <v>8.1999999999999993</v>
      </c>
      <c r="G74" s="1">
        <f>((Fórmulas!C$6/Fórmulas!D$6)/Fórmulas!E$6)*E74</f>
        <v>20.081632653061224</v>
      </c>
      <c r="H74" s="1">
        <f>G74*Fórmulas!B$9</f>
        <v>7028.5714285714284</v>
      </c>
      <c r="I74" s="7">
        <f t="shared" si="1"/>
        <v>13.666666666666666</v>
      </c>
      <c r="K74" s="1">
        <v>1</v>
      </c>
      <c r="L74" s="1">
        <f>((Fórmulas!C$6/Fórmulas!D$6)/0.7)*K74</f>
        <v>2.4489795918367347</v>
      </c>
      <c r="M74" s="1">
        <f>L74*Fórmulas!D$6</f>
        <v>857.14285714285711</v>
      </c>
    </row>
    <row r="75" spans="1:13" x14ac:dyDescent="0.25">
      <c r="A75" s="21" t="s">
        <v>714</v>
      </c>
      <c r="B75" s="26" t="s">
        <v>716</v>
      </c>
      <c r="C75" s="26"/>
      <c r="D75" s="26"/>
      <c r="E75" s="2">
        <v>8.1999999999999993</v>
      </c>
      <c r="G75" s="1">
        <f>((Fórmulas!C$6/Fórmulas!D$6)/Fórmulas!E$6)*E75</f>
        <v>20.081632653061224</v>
      </c>
      <c r="H75" s="1">
        <f>G75*Fórmulas!B$9</f>
        <v>7028.5714285714284</v>
      </c>
      <c r="I75" s="7">
        <f t="shared" si="1"/>
        <v>13.666666666666666</v>
      </c>
      <c r="K75" s="1">
        <v>1</v>
      </c>
      <c r="L75" s="1">
        <f>((Fórmulas!C$6/Fórmulas!D$6)/0.7)*K75</f>
        <v>2.4489795918367347</v>
      </c>
      <c r="M75" s="1">
        <f>L75*Fórmulas!D$6</f>
        <v>857.14285714285711</v>
      </c>
    </row>
    <row r="76" spans="1:13" x14ac:dyDescent="0.25">
      <c r="A76" s="21" t="s">
        <v>714</v>
      </c>
      <c r="B76" s="26" t="s">
        <v>717</v>
      </c>
      <c r="C76" s="26"/>
      <c r="D76" s="26"/>
      <c r="E76" s="2">
        <v>8.1999999999999993</v>
      </c>
      <c r="G76" s="1">
        <f>((Fórmulas!C$6/Fórmulas!D$6)/Fórmulas!E$6)*E76</f>
        <v>20.081632653061224</v>
      </c>
      <c r="H76" s="1">
        <f>G76*Fórmulas!B$9</f>
        <v>7028.5714285714284</v>
      </c>
      <c r="I76" s="7">
        <f t="shared" si="1"/>
        <v>13.666666666666666</v>
      </c>
      <c r="K76" s="1">
        <v>1</v>
      </c>
      <c r="L76" s="1">
        <f>((Fórmulas!C$6/Fórmulas!D$6)/0.7)*K76</f>
        <v>2.4489795918367347</v>
      </c>
      <c r="M76" s="1">
        <f>L76*Fórmulas!D$6</f>
        <v>857.14285714285711</v>
      </c>
    </row>
    <row r="77" spans="1:13" x14ac:dyDescent="0.25">
      <c r="A77" s="21" t="s">
        <v>714</v>
      </c>
      <c r="B77" s="25" t="s">
        <v>718</v>
      </c>
      <c r="C77" s="25"/>
      <c r="D77" s="25"/>
      <c r="E77" s="2">
        <v>8.1999999999999993</v>
      </c>
      <c r="G77" s="1">
        <f>((Fórmulas!C$6/Fórmulas!D$6)/Fórmulas!E$6)*E77</f>
        <v>20.081632653061224</v>
      </c>
      <c r="H77" s="1">
        <f>G77*Fórmulas!B$9</f>
        <v>7028.5714285714284</v>
      </c>
      <c r="I77" s="7">
        <f t="shared" si="1"/>
        <v>13.666666666666666</v>
      </c>
      <c r="K77" s="1">
        <v>1</v>
      </c>
      <c r="L77" s="1">
        <f>((Fórmulas!C$6/Fórmulas!D$6)/0.7)*K77</f>
        <v>2.4489795918367347</v>
      </c>
      <c r="M77" s="1">
        <f>L77*Fórmulas!D$6</f>
        <v>857.14285714285711</v>
      </c>
    </row>
    <row r="78" spans="1:13" x14ac:dyDescent="0.25">
      <c r="A78" s="2"/>
      <c r="B78" s="25"/>
      <c r="C78" s="25"/>
      <c r="D78" s="25"/>
      <c r="E78" s="2">
        <v>0</v>
      </c>
      <c r="G78" s="1">
        <f>((Fórmulas!C$6/Fórmulas!D$6)/Fórmulas!E$6)*E78</f>
        <v>0</v>
      </c>
      <c r="H78" s="1">
        <f>G78*Fórmulas!B$9</f>
        <v>0</v>
      </c>
      <c r="I78" s="7">
        <f t="shared" si="1"/>
        <v>0</v>
      </c>
      <c r="K78" s="1">
        <v>1</v>
      </c>
      <c r="L78" s="1">
        <f>((Fórmulas!C$6/Fórmulas!D$6)/0.7)*K78</f>
        <v>2.4489795918367347</v>
      </c>
      <c r="M78" s="1">
        <f>L78*Fórmulas!D$6</f>
        <v>857.14285714285711</v>
      </c>
    </row>
    <row r="79" spans="1:13" x14ac:dyDescent="0.25">
      <c r="A79" s="2"/>
      <c r="B79" s="26"/>
      <c r="C79" s="26"/>
      <c r="D79" s="26"/>
      <c r="E79" s="2">
        <v>0</v>
      </c>
      <c r="G79" s="1">
        <f>((Fórmulas!C$6/Fórmulas!D$6)/Fórmulas!E$6)*E79</f>
        <v>0</v>
      </c>
      <c r="H79" s="1">
        <f>G79*Fórmulas!B$9</f>
        <v>0</v>
      </c>
      <c r="I79" s="7">
        <f t="shared" si="1"/>
        <v>0</v>
      </c>
      <c r="K79" s="1">
        <v>1</v>
      </c>
      <c r="L79" s="1">
        <f>((Fórmulas!C$6/Fórmulas!D$6)/0.7)*K79</f>
        <v>2.4489795918367347</v>
      </c>
      <c r="M79" s="1">
        <f>L79*Fórmulas!D$6</f>
        <v>857.14285714285711</v>
      </c>
    </row>
    <row r="80" spans="1:13" x14ac:dyDescent="0.25">
      <c r="A80" s="2"/>
      <c r="B80" s="26"/>
      <c r="C80" s="26"/>
      <c r="D80" s="26"/>
      <c r="E80" s="2">
        <v>0</v>
      </c>
      <c r="G80" s="1">
        <f>((Fórmulas!C$6/Fórmulas!D$6)/Fórmulas!E$6)*E80</f>
        <v>0</v>
      </c>
      <c r="H80" s="1">
        <f>G80*Fórmulas!B$9</f>
        <v>0</v>
      </c>
      <c r="I80" s="7">
        <f t="shared" si="1"/>
        <v>0</v>
      </c>
      <c r="K80" s="1">
        <v>1</v>
      </c>
      <c r="L80" s="1">
        <f>((Fórmulas!C$6/Fórmulas!D$6)/0.7)*K80</f>
        <v>2.4489795918367347</v>
      </c>
      <c r="M80" s="1">
        <f>L80*Fórmulas!D$6</f>
        <v>857.14285714285711</v>
      </c>
    </row>
    <row r="81" spans="1:13" x14ac:dyDescent="0.25">
      <c r="A81" s="2"/>
      <c r="B81" s="26"/>
      <c r="C81" s="26"/>
      <c r="D81" s="26"/>
      <c r="E81" s="2">
        <v>0</v>
      </c>
      <c r="G81" s="1">
        <f>((Fórmulas!C$6/Fórmulas!D$6)/Fórmulas!E$6)*E81</f>
        <v>0</v>
      </c>
      <c r="H81" s="1">
        <f>G81*Fórmulas!B$9</f>
        <v>0</v>
      </c>
      <c r="I81" s="7">
        <f t="shared" ref="I81:I144" si="3">E81/0.6</f>
        <v>0</v>
      </c>
      <c r="K81" s="1">
        <v>1</v>
      </c>
      <c r="L81" s="1">
        <f>((Fórmulas!C$6/Fórmulas!D$6)/0.7)*K81</f>
        <v>2.4489795918367347</v>
      </c>
      <c r="M81" s="1">
        <f>L81*Fórmulas!D$6</f>
        <v>857.14285714285711</v>
      </c>
    </row>
    <row r="82" spans="1:13" x14ac:dyDescent="0.25">
      <c r="A82" s="2"/>
      <c r="B82" s="26"/>
      <c r="C82" s="26"/>
      <c r="D82" s="26"/>
      <c r="E82" s="2">
        <v>0</v>
      </c>
      <c r="G82" s="1">
        <f>((Fórmulas!C$6/Fórmulas!D$6)/Fórmulas!E$6)*E82</f>
        <v>0</v>
      </c>
      <c r="H82" s="1">
        <f>G82*Fórmulas!B$9</f>
        <v>0</v>
      </c>
      <c r="I82" s="7">
        <f t="shared" si="3"/>
        <v>0</v>
      </c>
      <c r="K82" s="1">
        <v>1</v>
      </c>
      <c r="L82" s="1">
        <f>((Fórmulas!C$6/Fórmulas!D$6)/0.7)*K82</f>
        <v>2.4489795918367347</v>
      </c>
      <c r="M82" s="1">
        <f>L82*Fórmulas!D$6</f>
        <v>857.14285714285711</v>
      </c>
    </row>
    <row r="83" spans="1:13" x14ac:dyDescent="0.25">
      <c r="A83" s="2"/>
      <c r="B83" s="26"/>
      <c r="C83" s="26"/>
      <c r="D83" s="26"/>
      <c r="E83" s="2">
        <v>0</v>
      </c>
      <c r="G83" s="1">
        <f>((Fórmulas!C$6/Fórmulas!D$6)/Fórmulas!E$6)*E83</f>
        <v>0</v>
      </c>
      <c r="H83" s="1">
        <f>G83*Fórmulas!B$9</f>
        <v>0</v>
      </c>
      <c r="I83" s="7">
        <f t="shared" si="3"/>
        <v>0</v>
      </c>
      <c r="K83" s="1">
        <v>1</v>
      </c>
      <c r="L83" s="1">
        <f>((Fórmulas!C$6/Fórmulas!D$6)/0.7)*K83</f>
        <v>2.4489795918367347</v>
      </c>
      <c r="M83" s="1">
        <f>L83*Fórmulas!D$6</f>
        <v>857.14285714285711</v>
      </c>
    </row>
    <row r="84" spans="1:13" x14ac:dyDescent="0.25">
      <c r="A84" s="2"/>
      <c r="B84" s="26"/>
      <c r="C84" s="26"/>
      <c r="D84" s="26"/>
      <c r="E84" s="2">
        <v>0</v>
      </c>
      <c r="G84" s="1">
        <f>((Fórmulas!C$6/Fórmulas!D$6)/Fórmulas!E$6)*E84</f>
        <v>0</v>
      </c>
      <c r="H84" s="1">
        <f>G84*Fórmulas!B$9</f>
        <v>0</v>
      </c>
      <c r="I84" s="7">
        <f t="shared" si="3"/>
        <v>0</v>
      </c>
      <c r="K84" s="1">
        <v>1</v>
      </c>
      <c r="L84" s="1">
        <f>((Fórmulas!C$6/Fórmulas!D$6)/0.7)*K84</f>
        <v>2.4489795918367347</v>
      </c>
      <c r="M84" s="1">
        <f>L84*Fórmulas!D$6</f>
        <v>857.14285714285711</v>
      </c>
    </row>
    <row r="85" spans="1:13" x14ac:dyDescent="0.25">
      <c r="A85" s="2" t="s">
        <v>724</v>
      </c>
      <c r="B85" s="26" t="s">
        <v>725</v>
      </c>
      <c r="C85" s="26"/>
      <c r="D85" s="26"/>
      <c r="E85" s="2">
        <v>16</v>
      </c>
      <c r="G85" s="1">
        <f>((Fórmulas!C$6/Fórmulas!D$6)/Fórmulas!E$6)*E85</f>
        <v>39.183673469387756</v>
      </c>
      <c r="H85" s="1">
        <f>G85*Fórmulas!B$9</f>
        <v>13714.285714285714</v>
      </c>
      <c r="I85" s="7">
        <f t="shared" si="3"/>
        <v>26.666666666666668</v>
      </c>
      <c r="K85" s="1">
        <v>1</v>
      </c>
      <c r="L85" s="1">
        <f>((Fórmulas!C$6/Fórmulas!D$6)/0.7)*K85</f>
        <v>2.4489795918367347</v>
      </c>
      <c r="M85" s="1">
        <f>L85*Fórmulas!D$6</f>
        <v>857.14285714285711</v>
      </c>
    </row>
    <row r="86" spans="1:13" x14ac:dyDescent="0.25">
      <c r="A86" s="22" t="s">
        <v>724</v>
      </c>
      <c r="B86" s="26" t="s">
        <v>726</v>
      </c>
      <c r="C86" s="26"/>
      <c r="D86" s="26"/>
      <c r="E86" s="2">
        <v>14.3</v>
      </c>
      <c r="G86" s="1">
        <f>((Fórmulas!C$6/Fórmulas!D$6)/Fórmulas!E$6)*E86</f>
        <v>35.020408163265309</v>
      </c>
      <c r="H86" s="1">
        <f>G86*Fórmulas!B$9</f>
        <v>12257.142857142859</v>
      </c>
      <c r="I86" s="7">
        <f t="shared" si="3"/>
        <v>23.833333333333336</v>
      </c>
      <c r="K86" s="1">
        <v>1</v>
      </c>
      <c r="L86" s="1">
        <f>((Fórmulas!C$6/Fórmulas!D$6)/0.7)*K86</f>
        <v>2.4489795918367347</v>
      </c>
      <c r="M86" s="1">
        <f>L86*Fórmulas!D$6</f>
        <v>857.14285714285711</v>
      </c>
    </row>
    <row r="87" spans="1:13" x14ac:dyDescent="0.25">
      <c r="A87" s="22" t="s">
        <v>724</v>
      </c>
      <c r="B87" s="26" t="s">
        <v>727</v>
      </c>
      <c r="C87" s="26"/>
      <c r="D87" s="26"/>
      <c r="E87" s="2">
        <v>16</v>
      </c>
      <c r="G87" s="1">
        <f>((Fórmulas!C$6/Fórmulas!D$6)/Fórmulas!E$6)*E87</f>
        <v>39.183673469387756</v>
      </c>
      <c r="H87" s="1">
        <f>G87*Fórmulas!B$9</f>
        <v>13714.285714285714</v>
      </c>
      <c r="I87" s="7">
        <f t="shared" si="3"/>
        <v>26.666666666666668</v>
      </c>
      <c r="K87" s="1">
        <v>1</v>
      </c>
      <c r="L87" s="1">
        <f>((Fórmulas!C$6/Fórmulas!D$6)/0.7)*K87</f>
        <v>2.4489795918367347</v>
      </c>
      <c r="M87" s="1">
        <f>L87*Fórmulas!D$6</f>
        <v>857.14285714285711</v>
      </c>
    </row>
    <row r="88" spans="1:13" x14ac:dyDescent="0.25">
      <c r="A88" s="22" t="s">
        <v>724</v>
      </c>
      <c r="B88" s="25" t="s">
        <v>728</v>
      </c>
      <c r="C88" s="25"/>
      <c r="D88" s="25"/>
      <c r="E88" s="2">
        <v>24.1</v>
      </c>
      <c r="G88" s="1">
        <f>((Fórmulas!C$6/Fórmulas!D$6)/Fórmulas!E$6)*E88</f>
        <v>59.020408163265309</v>
      </c>
      <c r="H88" s="1">
        <f>G88*Fórmulas!B$9</f>
        <v>20657.142857142859</v>
      </c>
      <c r="I88" s="7">
        <f t="shared" si="3"/>
        <v>40.166666666666671</v>
      </c>
      <c r="K88" s="1">
        <v>1</v>
      </c>
      <c r="L88" s="1">
        <f>((Fórmulas!C$6/Fórmulas!D$6)/0.7)*K88</f>
        <v>2.4489795918367347</v>
      </c>
      <c r="M88" s="1">
        <f>L88*Fórmulas!D$6</f>
        <v>857.14285714285711</v>
      </c>
    </row>
    <row r="89" spans="1:13" x14ac:dyDescent="0.25">
      <c r="A89" s="22" t="s">
        <v>724</v>
      </c>
      <c r="B89" s="25" t="s">
        <v>729</v>
      </c>
      <c r="C89" s="25"/>
      <c r="D89" s="25"/>
      <c r="E89" s="2">
        <v>27</v>
      </c>
      <c r="G89" s="1">
        <f>((Fórmulas!C$6/Fórmulas!D$6)/Fórmulas!E$6)*E89</f>
        <v>66.122448979591837</v>
      </c>
      <c r="H89" s="1">
        <f>G89*Fórmulas!B$9</f>
        <v>23142.857142857141</v>
      </c>
      <c r="I89" s="7">
        <f t="shared" si="3"/>
        <v>45</v>
      </c>
      <c r="K89" s="1">
        <v>1</v>
      </c>
      <c r="L89" s="1">
        <f>((Fórmulas!C$6/Fórmulas!D$6)/0.7)*K89</f>
        <v>2.4489795918367347</v>
      </c>
      <c r="M89" s="1">
        <f>L89*Fórmulas!D$6</f>
        <v>857.14285714285711</v>
      </c>
    </row>
    <row r="90" spans="1:13" x14ac:dyDescent="0.25">
      <c r="A90" s="22" t="s">
        <v>724</v>
      </c>
      <c r="B90" s="25" t="s">
        <v>730</v>
      </c>
      <c r="C90" s="25"/>
      <c r="D90" s="25"/>
      <c r="E90" s="2">
        <v>18</v>
      </c>
      <c r="G90" s="1">
        <f>((Fórmulas!C$6/Fórmulas!D$6)/Fórmulas!E$6)*E90</f>
        <v>44.081632653061227</v>
      </c>
      <c r="H90" s="1">
        <f>G90*Fórmulas!B$9</f>
        <v>15428.571428571429</v>
      </c>
      <c r="I90" s="7">
        <f t="shared" si="3"/>
        <v>30</v>
      </c>
      <c r="K90" s="1">
        <v>1</v>
      </c>
      <c r="L90" s="1">
        <f>((Fórmulas!C$6/Fórmulas!D$6)/0.7)*K90</f>
        <v>2.4489795918367347</v>
      </c>
      <c r="M90" s="1">
        <f>L90*Fórmulas!D$6</f>
        <v>857.14285714285711</v>
      </c>
    </row>
    <row r="91" spans="1:13" x14ac:dyDescent="0.25">
      <c r="A91" s="22" t="s">
        <v>724</v>
      </c>
      <c r="B91" s="25" t="s">
        <v>731</v>
      </c>
      <c r="C91" s="25"/>
      <c r="D91" s="25"/>
      <c r="E91" s="2">
        <v>16</v>
      </c>
      <c r="G91" s="1">
        <f>((Fórmulas!C$6/Fórmulas!D$6)/Fórmulas!E$6)*E91</f>
        <v>39.183673469387756</v>
      </c>
      <c r="H91" s="1">
        <f>G91*Fórmulas!B$9</f>
        <v>13714.285714285714</v>
      </c>
      <c r="I91" s="7">
        <f t="shared" si="3"/>
        <v>26.666666666666668</v>
      </c>
      <c r="K91" s="1">
        <v>1</v>
      </c>
      <c r="L91" s="1">
        <f>((Fórmulas!C$6/Fórmulas!D$6)/0.7)*K91</f>
        <v>2.4489795918367347</v>
      </c>
      <c r="M91" s="1">
        <f>L91*Fórmulas!D$6</f>
        <v>857.14285714285711</v>
      </c>
    </row>
    <row r="92" spans="1:13" x14ac:dyDescent="0.25">
      <c r="A92" s="22" t="s">
        <v>724</v>
      </c>
      <c r="B92" s="25" t="s">
        <v>732</v>
      </c>
      <c r="C92" s="25"/>
      <c r="D92" s="25"/>
      <c r="E92" s="2">
        <v>12.3</v>
      </c>
      <c r="G92" s="1">
        <f>((Fórmulas!C$6/Fórmulas!D$6)/Fórmulas!E$6)*E92</f>
        <v>30.122448979591841</v>
      </c>
      <c r="H92" s="1">
        <f>G92*Fórmulas!B$9</f>
        <v>10542.857142857145</v>
      </c>
      <c r="I92" s="7">
        <f t="shared" si="3"/>
        <v>20.500000000000004</v>
      </c>
      <c r="K92" s="1">
        <v>1</v>
      </c>
      <c r="L92" s="1">
        <f>((Fórmulas!C$6/Fórmulas!D$6)/0.7)*K92</f>
        <v>2.4489795918367347</v>
      </c>
      <c r="M92" s="1">
        <f>L92*Fórmulas!D$6</f>
        <v>857.14285714285711</v>
      </c>
    </row>
    <row r="93" spans="1:13" x14ac:dyDescent="0.25">
      <c r="A93" s="22" t="s">
        <v>724</v>
      </c>
      <c r="B93" s="25" t="s">
        <v>733</v>
      </c>
      <c r="C93" s="25"/>
      <c r="D93" s="25"/>
      <c r="E93" s="2">
        <v>29</v>
      </c>
      <c r="G93" s="1">
        <f>((Fórmulas!C$6/Fórmulas!D$6)/Fórmulas!E$6)*E93</f>
        <v>71.020408163265301</v>
      </c>
      <c r="H93" s="1">
        <f>G93*Fórmulas!B$9</f>
        <v>24857.142857142855</v>
      </c>
      <c r="I93" s="7">
        <f t="shared" si="3"/>
        <v>48.333333333333336</v>
      </c>
      <c r="K93" s="1">
        <v>1</v>
      </c>
      <c r="L93" s="1">
        <f>((Fórmulas!C$6/Fórmulas!D$6)/0.7)*K93</f>
        <v>2.4489795918367347</v>
      </c>
      <c r="M93" s="1">
        <f>L93*Fórmulas!D$6</f>
        <v>857.14285714285711</v>
      </c>
    </row>
    <row r="94" spans="1:13" x14ac:dyDescent="0.25">
      <c r="A94" s="22" t="s">
        <v>724</v>
      </c>
      <c r="B94" s="25" t="s">
        <v>734</v>
      </c>
      <c r="C94" s="25"/>
      <c r="D94" s="25"/>
      <c r="E94" s="2">
        <v>16</v>
      </c>
      <c r="G94" s="1">
        <f>((Fórmulas!C$6/Fórmulas!D$6)/Fórmulas!E$6)*E94</f>
        <v>39.183673469387756</v>
      </c>
      <c r="H94" s="1">
        <f>G94*Fórmulas!B$9</f>
        <v>13714.285714285714</v>
      </c>
      <c r="I94" s="7">
        <f t="shared" si="3"/>
        <v>26.666666666666668</v>
      </c>
      <c r="K94" s="1">
        <v>1</v>
      </c>
      <c r="L94" s="1">
        <f>((Fórmulas!C$6/Fórmulas!D$6)/0.7)*K94</f>
        <v>2.4489795918367347</v>
      </c>
      <c r="M94" s="1">
        <f>L94*Fórmulas!D$6</f>
        <v>857.14285714285711</v>
      </c>
    </row>
    <row r="95" spans="1:13" x14ac:dyDescent="0.25">
      <c r="A95" s="22" t="s">
        <v>724</v>
      </c>
      <c r="B95" s="25" t="s">
        <v>735</v>
      </c>
      <c r="C95" s="25"/>
      <c r="D95" s="25"/>
      <c r="E95" s="2">
        <v>16</v>
      </c>
      <c r="G95" s="1">
        <f>((Fórmulas!C$6/Fórmulas!D$6)/Fórmulas!E$6)*E95</f>
        <v>39.183673469387756</v>
      </c>
      <c r="H95" s="1">
        <f>G95*Fórmulas!B$9</f>
        <v>13714.285714285714</v>
      </c>
      <c r="I95" s="7">
        <f t="shared" si="3"/>
        <v>26.666666666666668</v>
      </c>
      <c r="K95" s="1">
        <v>1</v>
      </c>
      <c r="L95" s="1">
        <f>((Fórmulas!C$6/Fórmulas!D$6)/0.7)*K95</f>
        <v>2.4489795918367347</v>
      </c>
      <c r="M95" s="1">
        <f>L95*Fórmulas!D$6</f>
        <v>857.14285714285711</v>
      </c>
    </row>
    <row r="96" spans="1:13" x14ac:dyDescent="0.25">
      <c r="A96" s="22" t="s">
        <v>724</v>
      </c>
      <c r="B96" s="25" t="s">
        <v>736</v>
      </c>
      <c r="C96" s="25"/>
      <c r="D96" s="25"/>
      <c r="E96" s="2">
        <v>16</v>
      </c>
      <c r="G96" s="1">
        <f>((Fórmulas!C$6/Fórmulas!D$6)/Fórmulas!E$6)*E96</f>
        <v>39.183673469387756</v>
      </c>
      <c r="H96" s="1">
        <f>G96*Fórmulas!B$9</f>
        <v>13714.285714285714</v>
      </c>
      <c r="I96" s="7">
        <f t="shared" si="3"/>
        <v>26.666666666666668</v>
      </c>
      <c r="K96" s="1">
        <v>1</v>
      </c>
      <c r="L96" s="1">
        <f>((Fórmulas!C$6/Fórmulas!D$6)/0.7)*K96</f>
        <v>2.4489795918367347</v>
      </c>
      <c r="M96" s="1">
        <f>L96*Fórmulas!D$6</f>
        <v>857.14285714285711</v>
      </c>
    </row>
    <row r="97" spans="1:13" x14ac:dyDescent="0.25">
      <c r="A97" s="22" t="s">
        <v>724</v>
      </c>
      <c r="B97" s="25" t="s">
        <v>737</v>
      </c>
      <c r="C97" s="25"/>
      <c r="D97" s="25"/>
      <c r="E97" s="2">
        <v>14.3</v>
      </c>
      <c r="G97" s="1">
        <f>((Fórmulas!C$6/Fórmulas!D$6)/Fórmulas!E$6)*E97</f>
        <v>35.020408163265309</v>
      </c>
      <c r="H97" s="1">
        <f>G97*Fórmulas!B$9</f>
        <v>12257.142857142859</v>
      </c>
      <c r="I97" s="7">
        <f t="shared" si="3"/>
        <v>23.833333333333336</v>
      </c>
      <c r="K97" s="1">
        <v>1</v>
      </c>
      <c r="L97" s="1">
        <f>((Fórmulas!C$6/Fórmulas!D$6)/0.7)*K97</f>
        <v>2.4489795918367347</v>
      </c>
      <c r="M97" s="1">
        <f>L97*Fórmulas!D$6</f>
        <v>857.14285714285711</v>
      </c>
    </row>
    <row r="98" spans="1:13" x14ac:dyDescent="0.25">
      <c r="A98" s="22" t="s">
        <v>724</v>
      </c>
      <c r="B98" s="25" t="s">
        <v>738</v>
      </c>
      <c r="C98" s="25"/>
      <c r="D98" s="25"/>
      <c r="E98" s="2">
        <v>29</v>
      </c>
      <c r="G98" s="1">
        <f>((Fórmulas!C$6/Fórmulas!D$6)/Fórmulas!E$6)*E98</f>
        <v>71.020408163265301</v>
      </c>
      <c r="H98" s="1">
        <f>G98*Fórmulas!B$9</f>
        <v>24857.142857142855</v>
      </c>
      <c r="I98" s="7">
        <f t="shared" si="3"/>
        <v>48.333333333333336</v>
      </c>
      <c r="K98" s="1">
        <v>1</v>
      </c>
      <c r="L98" s="1">
        <f>((Fórmulas!C$6/Fórmulas!D$6)/0.7)*K98</f>
        <v>2.4489795918367347</v>
      </c>
      <c r="M98" s="1">
        <f>L98*Fórmulas!D$6</f>
        <v>857.14285714285711</v>
      </c>
    </row>
    <row r="99" spans="1:13" x14ac:dyDescent="0.25">
      <c r="A99" s="22" t="s">
        <v>724</v>
      </c>
      <c r="B99" s="25" t="s">
        <v>739</v>
      </c>
      <c r="C99" s="25"/>
      <c r="D99" s="25"/>
      <c r="E99" s="2">
        <v>29</v>
      </c>
      <c r="G99" s="1">
        <f>((Fórmulas!C$6/Fórmulas!D$6)/Fórmulas!E$6)*E99</f>
        <v>71.020408163265301</v>
      </c>
      <c r="H99" s="1">
        <f>G99*Fórmulas!B$9</f>
        <v>24857.142857142855</v>
      </c>
      <c r="I99" s="7">
        <f t="shared" si="3"/>
        <v>48.333333333333336</v>
      </c>
      <c r="K99" s="1">
        <v>1</v>
      </c>
      <c r="L99" s="1">
        <f>((Fórmulas!C$6/Fórmulas!D$6)/0.7)*K99</f>
        <v>2.4489795918367347</v>
      </c>
      <c r="M99" s="1">
        <f>L99*Fórmulas!D$6</f>
        <v>857.14285714285711</v>
      </c>
    </row>
    <row r="100" spans="1:13" x14ac:dyDescent="0.25">
      <c r="A100" s="2"/>
      <c r="B100" s="25"/>
      <c r="C100" s="25"/>
      <c r="D100" s="25"/>
      <c r="E100" s="2">
        <v>0</v>
      </c>
      <c r="G100" s="1">
        <f>((Fórmulas!C$6/Fórmulas!D$6)/Fórmulas!E$6)*E100</f>
        <v>0</v>
      </c>
      <c r="H100" s="1">
        <f>G100*Fórmulas!B$9</f>
        <v>0</v>
      </c>
      <c r="I100" s="7">
        <f t="shared" si="3"/>
        <v>0</v>
      </c>
      <c r="K100" s="1">
        <v>1</v>
      </c>
      <c r="L100" s="1">
        <f>((Fórmulas!C$6/Fórmulas!D$6)/0.7)*K100</f>
        <v>2.4489795918367347</v>
      </c>
      <c r="M100" s="1">
        <f>L100*Fórmulas!D$6</f>
        <v>857.14285714285711</v>
      </c>
    </row>
    <row r="101" spans="1:13" x14ac:dyDescent="0.25">
      <c r="A101" s="2"/>
      <c r="B101" s="26"/>
      <c r="C101" s="26"/>
      <c r="D101" s="26"/>
      <c r="E101" s="2">
        <v>0</v>
      </c>
      <c r="G101" s="1">
        <f>((Fórmulas!C$6/Fórmulas!D$6)/Fórmulas!E$6)*E101</f>
        <v>0</v>
      </c>
      <c r="H101" s="1">
        <f>G101*Fórmulas!B$9</f>
        <v>0</v>
      </c>
      <c r="I101" s="7">
        <f t="shared" si="3"/>
        <v>0</v>
      </c>
      <c r="K101" s="1">
        <v>1</v>
      </c>
      <c r="L101" s="1">
        <f>((Fórmulas!C$6/Fórmulas!D$6)/0.7)*K101</f>
        <v>2.4489795918367347</v>
      </c>
      <c r="M101" s="1">
        <f>L101*Fórmulas!D$6</f>
        <v>857.14285714285711</v>
      </c>
    </row>
    <row r="102" spans="1:13" x14ac:dyDescent="0.25">
      <c r="A102" s="2"/>
      <c r="B102" s="26"/>
      <c r="C102" s="26"/>
      <c r="D102" s="26"/>
      <c r="E102" s="2">
        <v>0</v>
      </c>
      <c r="G102" s="1">
        <f>((Fórmulas!C$6/Fórmulas!D$6)/Fórmulas!E$6)*E102</f>
        <v>0</v>
      </c>
      <c r="H102" s="1">
        <f>G102*Fórmulas!B$9</f>
        <v>0</v>
      </c>
      <c r="I102" s="7">
        <f t="shared" si="3"/>
        <v>0</v>
      </c>
      <c r="K102" s="1">
        <v>1</v>
      </c>
      <c r="L102" s="1">
        <f>((Fórmulas!C$6/Fórmulas!D$6)/0.7)*K102</f>
        <v>2.4489795918367347</v>
      </c>
      <c r="M102" s="1">
        <f>L102*Fórmulas!D$6</f>
        <v>857.14285714285711</v>
      </c>
    </row>
    <row r="103" spans="1:13" x14ac:dyDescent="0.25">
      <c r="A103" s="2"/>
      <c r="B103" s="26"/>
      <c r="C103" s="26"/>
      <c r="D103" s="26"/>
      <c r="E103" s="2">
        <v>0</v>
      </c>
      <c r="G103" s="1">
        <f>((Fórmulas!C$6/Fórmulas!D$6)/Fórmulas!E$6)*E103</f>
        <v>0</v>
      </c>
      <c r="H103" s="1">
        <f>G103*Fórmulas!B$9</f>
        <v>0</v>
      </c>
      <c r="I103" s="7">
        <f t="shared" si="3"/>
        <v>0</v>
      </c>
      <c r="K103" s="1">
        <v>1</v>
      </c>
      <c r="L103" s="1">
        <f>((Fórmulas!C$6/Fórmulas!D$6)/0.7)*K103</f>
        <v>2.4489795918367347</v>
      </c>
      <c r="M103" s="1">
        <f>L103*Fórmulas!D$6</f>
        <v>857.14285714285711</v>
      </c>
    </row>
    <row r="104" spans="1:13" x14ac:dyDescent="0.25">
      <c r="A104" s="2"/>
      <c r="B104" s="26"/>
      <c r="C104" s="26"/>
      <c r="D104" s="26"/>
      <c r="E104" s="2">
        <v>0</v>
      </c>
      <c r="G104" s="1">
        <f>((Fórmulas!C$6/Fórmulas!D$6)/Fórmulas!E$6)*E104</f>
        <v>0</v>
      </c>
      <c r="H104" s="1">
        <f>G104*Fórmulas!B$9</f>
        <v>0</v>
      </c>
      <c r="I104" s="7">
        <f t="shared" si="3"/>
        <v>0</v>
      </c>
      <c r="K104" s="1">
        <v>1</v>
      </c>
      <c r="L104" s="1">
        <f>((Fórmulas!C$6/Fórmulas!D$6)/0.7)*K104</f>
        <v>2.4489795918367347</v>
      </c>
      <c r="M104" s="1">
        <f>L104*Fórmulas!D$6</f>
        <v>857.14285714285711</v>
      </c>
    </row>
    <row r="105" spans="1:13" x14ac:dyDescent="0.25">
      <c r="A105" s="2"/>
      <c r="B105" s="26"/>
      <c r="C105" s="26"/>
      <c r="D105" s="26"/>
      <c r="E105" s="2">
        <v>0</v>
      </c>
      <c r="G105" s="1">
        <f>((Fórmulas!C$6/Fórmulas!D$6)/Fórmulas!E$6)*E105</f>
        <v>0</v>
      </c>
      <c r="H105" s="1">
        <f>G105*Fórmulas!B$9</f>
        <v>0</v>
      </c>
      <c r="I105" s="7">
        <f t="shared" si="3"/>
        <v>0</v>
      </c>
      <c r="K105" s="1">
        <v>1</v>
      </c>
      <c r="L105" s="1">
        <f>((Fórmulas!C$6/Fórmulas!D$6)/0.7)*K105</f>
        <v>2.4489795918367347</v>
      </c>
      <c r="M105" s="1">
        <f>L105*Fórmulas!D$6</f>
        <v>857.14285714285711</v>
      </c>
    </row>
    <row r="106" spans="1:13" x14ac:dyDescent="0.25">
      <c r="A106" s="2"/>
      <c r="B106" s="26"/>
      <c r="C106" s="26"/>
      <c r="D106" s="26"/>
      <c r="E106" s="2">
        <v>0</v>
      </c>
      <c r="G106" s="1">
        <f>((Fórmulas!C$6/Fórmulas!D$6)/Fórmulas!E$6)*E106</f>
        <v>0</v>
      </c>
      <c r="H106" s="1">
        <f>G106*Fórmulas!B$9</f>
        <v>0</v>
      </c>
      <c r="I106" s="7">
        <f t="shared" si="3"/>
        <v>0</v>
      </c>
      <c r="K106" s="1">
        <v>1</v>
      </c>
      <c r="L106" s="1">
        <f>((Fórmulas!C$6/Fórmulas!D$6)/0.7)*K106</f>
        <v>2.4489795918367347</v>
      </c>
      <c r="M106" s="1">
        <f>L106*Fórmulas!D$6</f>
        <v>857.14285714285711</v>
      </c>
    </row>
    <row r="107" spans="1:13" x14ac:dyDescent="0.25">
      <c r="A107" s="2"/>
      <c r="B107" s="26"/>
      <c r="C107" s="26"/>
      <c r="D107" s="26"/>
      <c r="E107" s="2">
        <v>0</v>
      </c>
      <c r="G107" s="1">
        <f>((Fórmulas!C$6/Fórmulas!D$6)/Fórmulas!E$6)*E107</f>
        <v>0</v>
      </c>
      <c r="H107" s="1">
        <f>G107*Fórmulas!B$9</f>
        <v>0</v>
      </c>
      <c r="I107" s="7">
        <f t="shared" si="3"/>
        <v>0</v>
      </c>
      <c r="K107" s="1">
        <v>1</v>
      </c>
      <c r="L107" s="1">
        <f>((Fórmulas!C$6/Fórmulas!D$6)/0.7)*K107</f>
        <v>2.4489795918367347</v>
      </c>
      <c r="M107" s="1">
        <f>L107*Fórmulas!D$6</f>
        <v>857.14285714285711</v>
      </c>
    </row>
    <row r="108" spans="1:13" x14ac:dyDescent="0.25">
      <c r="A108" s="2"/>
      <c r="B108" s="26"/>
      <c r="C108" s="26"/>
      <c r="D108" s="26"/>
      <c r="E108" s="2">
        <v>0</v>
      </c>
      <c r="G108" s="1">
        <f>((Fórmulas!C$6/Fórmulas!D$6)/Fórmulas!E$6)*E108</f>
        <v>0</v>
      </c>
      <c r="H108" s="1">
        <f>G108*Fórmulas!B$9</f>
        <v>0</v>
      </c>
      <c r="I108" s="7">
        <f t="shared" si="3"/>
        <v>0</v>
      </c>
      <c r="K108" s="1">
        <v>1</v>
      </c>
      <c r="L108" s="1">
        <f>((Fórmulas!C$6/Fórmulas!D$6)/0.7)*K108</f>
        <v>2.4489795918367347</v>
      </c>
      <c r="M108" s="1">
        <f>L108*Fórmulas!D$6</f>
        <v>857.14285714285711</v>
      </c>
    </row>
    <row r="109" spans="1:13" x14ac:dyDescent="0.25">
      <c r="A109" s="2"/>
      <c r="B109" s="26"/>
      <c r="C109" s="26"/>
      <c r="D109" s="26"/>
      <c r="E109" s="2">
        <v>0</v>
      </c>
      <c r="G109" s="1">
        <f>((Fórmulas!C$6/Fórmulas!D$6)/Fórmulas!E$6)*E109</f>
        <v>0</v>
      </c>
      <c r="H109" s="1">
        <f>G109*Fórmulas!B$9</f>
        <v>0</v>
      </c>
      <c r="I109" s="7">
        <f t="shared" si="3"/>
        <v>0</v>
      </c>
      <c r="K109" s="1">
        <v>1</v>
      </c>
      <c r="L109" s="1">
        <f>((Fórmulas!C$6/Fórmulas!D$6)/0.7)*K109</f>
        <v>2.4489795918367347</v>
      </c>
      <c r="M109" s="1">
        <f>L109*Fórmulas!D$6</f>
        <v>857.14285714285711</v>
      </c>
    </row>
    <row r="110" spans="1:13" x14ac:dyDescent="0.25">
      <c r="A110" s="2"/>
      <c r="B110" s="26"/>
      <c r="C110" s="26"/>
      <c r="D110" s="26"/>
      <c r="E110" s="2">
        <v>0</v>
      </c>
      <c r="G110" s="1">
        <f>((Fórmulas!C$6/Fórmulas!D$6)/Fórmulas!E$6)*E110</f>
        <v>0</v>
      </c>
      <c r="H110" s="1">
        <f>G110*Fórmulas!B$9</f>
        <v>0</v>
      </c>
      <c r="I110" s="7">
        <f t="shared" si="3"/>
        <v>0</v>
      </c>
      <c r="K110" s="1">
        <v>1</v>
      </c>
      <c r="L110" s="1">
        <f>((Fórmulas!C$6/Fórmulas!D$6)/0.7)*K110</f>
        <v>2.4489795918367347</v>
      </c>
      <c r="M110" s="1">
        <f>L110*Fórmulas!D$6</f>
        <v>857.14285714285711</v>
      </c>
    </row>
    <row r="111" spans="1:13" x14ac:dyDescent="0.25">
      <c r="A111" s="2"/>
      <c r="B111" s="25"/>
      <c r="C111" s="25"/>
      <c r="D111" s="25"/>
      <c r="E111" s="2">
        <v>0</v>
      </c>
      <c r="G111" s="1">
        <f>((Fórmulas!C$6/Fórmulas!D$6)/Fórmulas!E$6)*E111</f>
        <v>0</v>
      </c>
      <c r="H111" s="1">
        <f>G111*Fórmulas!B$9</f>
        <v>0</v>
      </c>
      <c r="I111" s="7">
        <f t="shared" si="3"/>
        <v>0</v>
      </c>
      <c r="K111" s="1">
        <v>1</v>
      </c>
      <c r="L111" s="1">
        <f>((Fórmulas!C$6/Fórmulas!D$6)/0.7)*K111</f>
        <v>2.4489795918367347</v>
      </c>
      <c r="M111" s="1">
        <f>L111*Fórmulas!D$6</f>
        <v>857.14285714285711</v>
      </c>
    </row>
    <row r="112" spans="1:13" x14ac:dyDescent="0.25">
      <c r="A112" s="2"/>
      <c r="B112" s="26"/>
      <c r="C112" s="26"/>
      <c r="D112" s="26"/>
      <c r="E112" s="2">
        <v>0</v>
      </c>
      <c r="G112" s="1">
        <f>((Fórmulas!C$6/Fórmulas!D$6)/Fórmulas!E$6)*E112</f>
        <v>0</v>
      </c>
      <c r="H112" s="1">
        <f>G112*Fórmulas!B$9</f>
        <v>0</v>
      </c>
      <c r="I112" s="7">
        <f t="shared" si="3"/>
        <v>0</v>
      </c>
      <c r="K112" s="1">
        <v>1</v>
      </c>
      <c r="L112" s="1">
        <f>((Fórmulas!C$6/Fórmulas!D$6)/0.7)*K112</f>
        <v>2.4489795918367347</v>
      </c>
      <c r="M112" s="1">
        <f>L112*Fórmulas!D$6</f>
        <v>857.14285714285711</v>
      </c>
    </row>
    <row r="113" spans="1:13" x14ac:dyDescent="0.25">
      <c r="A113" s="2"/>
      <c r="B113" s="26"/>
      <c r="C113" s="26"/>
      <c r="D113" s="26"/>
      <c r="E113" s="2">
        <v>0</v>
      </c>
      <c r="G113" s="1">
        <f>((Fórmulas!C$6/Fórmulas!D$6)/Fórmulas!E$6)*E113</f>
        <v>0</v>
      </c>
      <c r="H113" s="1">
        <f>G113*Fórmulas!B$9</f>
        <v>0</v>
      </c>
      <c r="I113" s="7">
        <f t="shared" si="3"/>
        <v>0</v>
      </c>
      <c r="K113" s="1">
        <v>1</v>
      </c>
      <c r="L113" s="1">
        <f>((Fórmulas!C$6/Fórmulas!D$6)/0.7)*K113</f>
        <v>2.4489795918367347</v>
      </c>
      <c r="M113" s="1">
        <f>L113*Fórmulas!D$6</f>
        <v>857.14285714285711</v>
      </c>
    </row>
    <row r="114" spans="1:13" x14ac:dyDescent="0.25">
      <c r="A114" s="2"/>
      <c r="B114" s="26"/>
      <c r="C114" s="26"/>
      <c r="D114" s="26"/>
      <c r="E114" s="2">
        <v>0</v>
      </c>
      <c r="G114" s="1">
        <f>((Fórmulas!C$6/Fórmulas!D$6)/Fórmulas!E$6)*E114</f>
        <v>0</v>
      </c>
      <c r="H114" s="1">
        <f>G114*Fórmulas!B$9</f>
        <v>0</v>
      </c>
      <c r="I114" s="7">
        <f t="shared" si="3"/>
        <v>0</v>
      </c>
      <c r="K114" s="1">
        <v>1</v>
      </c>
      <c r="L114" s="1">
        <f>((Fórmulas!C$6/Fórmulas!D$6)/0.7)*K114</f>
        <v>2.4489795918367347</v>
      </c>
      <c r="M114" s="1">
        <f>L114*Fórmulas!D$6</f>
        <v>857.14285714285711</v>
      </c>
    </row>
    <row r="115" spans="1:13" x14ac:dyDescent="0.25">
      <c r="A115" s="2"/>
      <c r="B115" s="26"/>
      <c r="C115" s="26"/>
      <c r="D115" s="26"/>
      <c r="E115" s="2">
        <v>0</v>
      </c>
      <c r="G115" s="1">
        <f>((Fórmulas!C$6/Fórmulas!D$6)/Fórmulas!E$6)*E115</f>
        <v>0</v>
      </c>
      <c r="H115" s="1">
        <f>G115*Fórmulas!B$9</f>
        <v>0</v>
      </c>
      <c r="I115" s="7">
        <f t="shared" si="3"/>
        <v>0</v>
      </c>
      <c r="K115" s="1">
        <v>1</v>
      </c>
      <c r="L115" s="1">
        <f>((Fórmulas!C$6/Fórmulas!D$6)/0.7)*K115</f>
        <v>2.4489795918367347</v>
      </c>
      <c r="M115" s="1">
        <f>L115*Fórmulas!D$6</f>
        <v>857.14285714285711</v>
      </c>
    </row>
    <row r="116" spans="1:13" x14ac:dyDescent="0.25">
      <c r="A116" s="2"/>
      <c r="B116" s="26"/>
      <c r="C116" s="26"/>
      <c r="D116" s="26"/>
      <c r="E116" s="2">
        <v>0</v>
      </c>
      <c r="G116" s="1">
        <f>((Fórmulas!C$6/Fórmulas!D$6)/Fórmulas!E$6)*E116</f>
        <v>0</v>
      </c>
      <c r="H116" s="1">
        <f>G116*Fórmulas!B$9</f>
        <v>0</v>
      </c>
      <c r="I116" s="7">
        <f t="shared" si="3"/>
        <v>0</v>
      </c>
      <c r="K116" s="1">
        <v>1</v>
      </c>
      <c r="L116" s="1">
        <f>((Fórmulas!C$6/Fórmulas!D$6)/0.7)*K116</f>
        <v>2.4489795918367347</v>
      </c>
      <c r="M116" s="1">
        <f>L116*Fórmulas!D$6</f>
        <v>857.14285714285711</v>
      </c>
    </row>
    <row r="117" spans="1:13" x14ac:dyDescent="0.25">
      <c r="A117" s="2"/>
      <c r="B117" s="26"/>
      <c r="C117" s="26"/>
      <c r="D117" s="26"/>
      <c r="E117" s="2">
        <v>0</v>
      </c>
      <c r="G117" s="1">
        <f>((Fórmulas!C$6/Fórmulas!D$6)/Fórmulas!E$6)*E117</f>
        <v>0</v>
      </c>
      <c r="H117" s="1">
        <f>G117*Fórmulas!B$9</f>
        <v>0</v>
      </c>
      <c r="I117" s="7">
        <f t="shared" si="3"/>
        <v>0</v>
      </c>
      <c r="K117" s="1">
        <v>1</v>
      </c>
      <c r="L117" s="1">
        <f>((Fórmulas!C$6/Fórmulas!D$6)/0.7)*K117</f>
        <v>2.4489795918367347</v>
      </c>
      <c r="M117" s="1">
        <f>L117*Fórmulas!D$6</f>
        <v>857.14285714285711</v>
      </c>
    </row>
    <row r="118" spans="1:13" x14ac:dyDescent="0.25">
      <c r="A118" s="2"/>
      <c r="B118" s="26"/>
      <c r="C118" s="26"/>
      <c r="D118" s="26"/>
      <c r="E118" s="2">
        <v>0</v>
      </c>
      <c r="G118" s="1">
        <f>((Fórmulas!C$6/Fórmulas!D$6)/Fórmulas!E$6)*E118</f>
        <v>0</v>
      </c>
      <c r="H118" s="1">
        <f>G118*Fórmulas!B$9</f>
        <v>0</v>
      </c>
      <c r="I118" s="7">
        <f t="shared" si="3"/>
        <v>0</v>
      </c>
      <c r="K118" s="1">
        <v>1</v>
      </c>
      <c r="L118" s="1">
        <f>((Fórmulas!C$6/Fórmulas!D$6)/0.7)*K118</f>
        <v>2.4489795918367347</v>
      </c>
      <c r="M118" s="1">
        <f>L118*Fórmulas!D$6</f>
        <v>857.14285714285711</v>
      </c>
    </row>
    <row r="119" spans="1:13" x14ac:dyDescent="0.25">
      <c r="A119" s="2"/>
      <c r="B119" s="26"/>
      <c r="C119" s="26"/>
      <c r="D119" s="26"/>
      <c r="E119" s="2">
        <v>0</v>
      </c>
      <c r="G119" s="1">
        <f>((Fórmulas!C$6/Fórmulas!D$6)/Fórmulas!E$6)*E119</f>
        <v>0</v>
      </c>
      <c r="H119" s="1">
        <f>G119*Fórmulas!B$9</f>
        <v>0</v>
      </c>
      <c r="I119" s="7">
        <f t="shared" si="3"/>
        <v>0</v>
      </c>
      <c r="K119" s="1">
        <v>1</v>
      </c>
      <c r="L119" s="1">
        <f>((Fórmulas!C$6/Fórmulas!D$6)/0.7)*K119</f>
        <v>2.4489795918367347</v>
      </c>
      <c r="M119" s="1">
        <f>L119*Fórmulas!D$6</f>
        <v>857.14285714285711</v>
      </c>
    </row>
    <row r="120" spans="1:13" x14ac:dyDescent="0.25">
      <c r="A120" s="2"/>
      <c r="B120" s="26"/>
      <c r="C120" s="26"/>
      <c r="D120" s="26"/>
      <c r="E120" s="2">
        <v>0</v>
      </c>
      <c r="G120" s="1">
        <f>((Fórmulas!C$6/Fórmulas!D$6)/Fórmulas!E$6)*E120</f>
        <v>0</v>
      </c>
      <c r="H120" s="1">
        <f>G120*Fórmulas!B$9</f>
        <v>0</v>
      </c>
      <c r="I120" s="7">
        <f t="shared" si="3"/>
        <v>0</v>
      </c>
      <c r="K120" s="1">
        <v>1</v>
      </c>
      <c r="L120" s="1">
        <f>((Fórmulas!C$6/Fórmulas!D$6)/0.7)*K120</f>
        <v>2.4489795918367347</v>
      </c>
      <c r="M120" s="1">
        <f>L120*Fórmulas!D$6</f>
        <v>857.14285714285711</v>
      </c>
    </row>
    <row r="121" spans="1:13" x14ac:dyDescent="0.25">
      <c r="A121" s="2"/>
      <c r="B121" s="26"/>
      <c r="C121" s="26"/>
      <c r="D121" s="26"/>
      <c r="E121" s="2">
        <v>0</v>
      </c>
      <c r="G121" s="1">
        <f>((Fórmulas!C$6/Fórmulas!D$6)/Fórmulas!E$6)*E121</f>
        <v>0</v>
      </c>
      <c r="H121" s="1">
        <f>G121*Fórmulas!B$9</f>
        <v>0</v>
      </c>
      <c r="I121" s="7">
        <f t="shared" si="3"/>
        <v>0</v>
      </c>
      <c r="K121" s="1">
        <v>1</v>
      </c>
      <c r="L121" s="1">
        <f>((Fórmulas!C$6/Fórmulas!D$6)/0.7)*K121</f>
        <v>2.4489795918367347</v>
      </c>
      <c r="M121" s="1">
        <f>L121*Fórmulas!D$6</f>
        <v>857.14285714285711</v>
      </c>
    </row>
    <row r="122" spans="1:13" x14ac:dyDescent="0.25">
      <c r="A122" s="2"/>
      <c r="B122" s="25"/>
      <c r="C122" s="25"/>
      <c r="D122" s="25"/>
      <c r="E122" s="2">
        <v>0</v>
      </c>
      <c r="G122" s="1">
        <f>((Fórmulas!C$6/Fórmulas!D$6)/Fórmulas!E$6)*E122</f>
        <v>0</v>
      </c>
      <c r="H122" s="1">
        <f>G122*Fórmulas!B$9</f>
        <v>0</v>
      </c>
      <c r="I122" s="7">
        <f t="shared" si="3"/>
        <v>0</v>
      </c>
      <c r="K122" s="1">
        <v>1</v>
      </c>
      <c r="L122" s="1">
        <f>((Fórmulas!C$6/Fórmulas!D$6)/0.7)*K122</f>
        <v>2.4489795918367347</v>
      </c>
      <c r="M122" s="1">
        <f>L122*Fórmulas!D$6</f>
        <v>857.14285714285711</v>
      </c>
    </row>
    <row r="123" spans="1:13" x14ac:dyDescent="0.25">
      <c r="A123" s="2"/>
      <c r="B123" s="26"/>
      <c r="C123" s="26"/>
      <c r="D123" s="26"/>
      <c r="E123" s="2">
        <v>0</v>
      </c>
      <c r="G123" s="1">
        <f>((Fórmulas!C$6/Fórmulas!D$6)/Fórmulas!E$6)*E123</f>
        <v>0</v>
      </c>
      <c r="H123" s="1">
        <f>G123*Fórmulas!B$9</f>
        <v>0</v>
      </c>
      <c r="I123" s="7">
        <f t="shared" si="3"/>
        <v>0</v>
      </c>
      <c r="K123" s="1">
        <v>1</v>
      </c>
      <c r="L123" s="1">
        <f>((Fórmulas!C$6/Fórmulas!D$6)/0.7)*K123</f>
        <v>2.4489795918367347</v>
      </c>
      <c r="M123" s="1">
        <f>L123*Fórmulas!D$6</f>
        <v>857.14285714285711</v>
      </c>
    </row>
    <row r="124" spans="1:13" x14ac:dyDescent="0.25">
      <c r="A124" s="2"/>
      <c r="B124" s="26"/>
      <c r="C124" s="26"/>
      <c r="D124" s="26"/>
      <c r="E124" s="2">
        <v>0</v>
      </c>
      <c r="G124" s="1">
        <f>((Fórmulas!C$6/Fórmulas!D$6)/Fórmulas!E$6)*E124</f>
        <v>0</v>
      </c>
      <c r="H124" s="1">
        <f>G124*Fórmulas!B$9</f>
        <v>0</v>
      </c>
      <c r="I124" s="7">
        <f t="shared" si="3"/>
        <v>0</v>
      </c>
      <c r="K124" s="1">
        <v>1</v>
      </c>
      <c r="L124" s="1">
        <f>((Fórmulas!C$6/Fórmulas!D$6)/0.7)*K124</f>
        <v>2.4489795918367347</v>
      </c>
      <c r="M124" s="1">
        <f>L124*Fórmulas!D$6</f>
        <v>857.14285714285711</v>
      </c>
    </row>
    <row r="125" spans="1:13" x14ac:dyDescent="0.25">
      <c r="A125" s="2"/>
      <c r="B125" s="26"/>
      <c r="C125" s="26"/>
      <c r="D125" s="26"/>
      <c r="E125" s="2">
        <v>0</v>
      </c>
      <c r="G125" s="1">
        <f>((Fórmulas!C$6/Fórmulas!D$6)/Fórmulas!E$6)*E125</f>
        <v>0</v>
      </c>
      <c r="H125" s="1">
        <f>G125*Fórmulas!B$9</f>
        <v>0</v>
      </c>
      <c r="I125" s="7">
        <f t="shared" si="3"/>
        <v>0</v>
      </c>
      <c r="K125" s="1">
        <v>1</v>
      </c>
      <c r="L125" s="1">
        <f>((Fórmulas!C$6/Fórmulas!D$6)/0.7)*K125</f>
        <v>2.4489795918367347</v>
      </c>
      <c r="M125" s="1">
        <f>L125*Fórmulas!D$6</f>
        <v>857.14285714285711</v>
      </c>
    </row>
    <row r="126" spans="1:13" x14ac:dyDescent="0.25">
      <c r="A126" s="2"/>
      <c r="B126" s="26"/>
      <c r="C126" s="26"/>
      <c r="D126" s="26"/>
      <c r="E126" s="2">
        <v>0</v>
      </c>
      <c r="G126" s="1">
        <f>((Fórmulas!C$6/Fórmulas!D$6)/Fórmulas!E$6)*E126</f>
        <v>0</v>
      </c>
      <c r="H126" s="1">
        <f>G126*Fórmulas!B$9</f>
        <v>0</v>
      </c>
      <c r="I126" s="7">
        <f t="shared" si="3"/>
        <v>0</v>
      </c>
      <c r="K126" s="1">
        <v>1</v>
      </c>
      <c r="L126" s="1">
        <f>((Fórmulas!C$6/Fórmulas!D$6)/0.7)*K126</f>
        <v>2.4489795918367347</v>
      </c>
      <c r="M126" s="1">
        <f>L126*Fórmulas!D$6</f>
        <v>857.14285714285711</v>
      </c>
    </row>
    <row r="127" spans="1:13" x14ac:dyDescent="0.25">
      <c r="A127" s="2"/>
      <c r="B127" s="26"/>
      <c r="C127" s="26"/>
      <c r="D127" s="26"/>
      <c r="E127" s="2">
        <v>0</v>
      </c>
      <c r="G127" s="1">
        <f>((Fórmulas!C$6/Fórmulas!D$6)/Fórmulas!E$6)*E127</f>
        <v>0</v>
      </c>
      <c r="H127" s="1">
        <f>G127*Fórmulas!B$9</f>
        <v>0</v>
      </c>
      <c r="I127" s="7">
        <f t="shared" si="3"/>
        <v>0</v>
      </c>
      <c r="K127" s="1">
        <v>1</v>
      </c>
      <c r="L127" s="1">
        <f>((Fórmulas!C$6/Fórmulas!D$6)/0.7)*K127</f>
        <v>2.4489795918367347</v>
      </c>
      <c r="M127" s="1">
        <f>L127*Fórmulas!D$6</f>
        <v>857.14285714285711</v>
      </c>
    </row>
    <row r="128" spans="1:13" x14ac:dyDescent="0.25">
      <c r="A128" s="2"/>
      <c r="B128" s="26"/>
      <c r="C128" s="26"/>
      <c r="D128" s="26"/>
      <c r="E128" s="2">
        <v>0</v>
      </c>
      <c r="G128" s="1">
        <f>((Fórmulas!C$6/Fórmulas!D$6)/Fórmulas!E$6)*E128</f>
        <v>0</v>
      </c>
      <c r="H128" s="1">
        <f>G128*Fórmulas!B$9</f>
        <v>0</v>
      </c>
      <c r="I128" s="7">
        <f t="shared" si="3"/>
        <v>0</v>
      </c>
      <c r="K128" s="1">
        <v>1</v>
      </c>
      <c r="L128" s="1">
        <f>((Fórmulas!C$6/Fórmulas!D$6)/0.7)*K128</f>
        <v>2.4489795918367347</v>
      </c>
      <c r="M128" s="1">
        <f>L128*Fórmulas!D$6</f>
        <v>857.14285714285711</v>
      </c>
    </row>
    <row r="129" spans="1:13" x14ac:dyDescent="0.25">
      <c r="A129" s="2"/>
      <c r="B129" s="26"/>
      <c r="C129" s="26"/>
      <c r="D129" s="26"/>
      <c r="E129" s="2">
        <v>0</v>
      </c>
      <c r="G129" s="1">
        <f>((Fórmulas!C$6/Fórmulas!D$6)/Fórmulas!E$6)*E129</f>
        <v>0</v>
      </c>
      <c r="H129" s="1">
        <f>G129*Fórmulas!B$9</f>
        <v>0</v>
      </c>
      <c r="I129" s="7">
        <f t="shared" si="3"/>
        <v>0</v>
      </c>
      <c r="K129" s="1">
        <v>1</v>
      </c>
      <c r="L129" s="1">
        <f>((Fórmulas!C$6/Fórmulas!D$6)/0.7)*K129</f>
        <v>2.4489795918367347</v>
      </c>
      <c r="M129" s="1">
        <f>L129*Fórmulas!D$6</f>
        <v>857.14285714285711</v>
      </c>
    </row>
    <row r="130" spans="1:13" x14ac:dyDescent="0.25">
      <c r="A130" s="2"/>
      <c r="B130" s="26"/>
      <c r="C130" s="26"/>
      <c r="D130" s="26"/>
      <c r="E130" s="2">
        <v>0</v>
      </c>
      <c r="G130" s="1">
        <f>((Fórmulas!C$6/Fórmulas!D$6)/Fórmulas!E$6)*E130</f>
        <v>0</v>
      </c>
      <c r="H130" s="1">
        <f>G130*Fórmulas!B$9</f>
        <v>0</v>
      </c>
      <c r="I130" s="7">
        <f t="shared" si="3"/>
        <v>0</v>
      </c>
      <c r="K130" s="1">
        <v>1</v>
      </c>
      <c r="L130" s="1">
        <f>((Fórmulas!C$6/Fórmulas!D$6)/0.7)*K130</f>
        <v>2.4489795918367347</v>
      </c>
      <c r="M130" s="1">
        <f>L130*Fórmulas!D$6</f>
        <v>857.14285714285711</v>
      </c>
    </row>
    <row r="131" spans="1:13" x14ac:dyDescent="0.25">
      <c r="A131" s="2"/>
      <c r="B131" s="26"/>
      <c r="C131" s="26"/>
      <c r="D131" s="26"/>
      <c r="E131" s="2">
        <v>0</v>
      </c>
      <c r="G131" s="1">
        <f>((Fórmulas!C$6/Fórmulas!D$6)/Fórmulas!E$6)*E131</f>
        <v>0</v>
      </c>
      <c r="H131" s="1">
        <f>G131*Fórmulas!B$9</f>
        <v>0</v>
      </c>
      <c r="I131" s="7">
        <f t="shared" si="3"/>
        <v>0</v>
      </c>
      <c r="K131" s="1">
        <v>1</v>
      </c>
      <c r="L131" s="1">
        <f>((Fórmulas!C$6/Fórmulas!D$6)/0.7)*K131</f>
        <v>2.4489795918367347</v>
      </c>
      <c r="M131" s="1">
        <f>L131*Fórmulas!D$6</f>
        <v>857.14285714285711</v>
      </c>
    </row>
    <row r="132" spans="1:13" x14ac:dyDescent="0.25">
      <c r="A132" s="2"/>
      <c r="B132" s="26"/>
      <c r="C132" s="26"/>
      <c r="D132" s="26"/>
      <c r="E132" s="2">
        <v>0</v>
      </c>
      <c r="G132" s="1">
        <f>((Fórmulas!C$6/Fórmulas!D$6)/Fórmulas!E$6)*E132</f>
        <v>0</v>
      </c>
      <c r="H132" s="1">
        <f>G132*Fórmulas!B$9</f>
        <v>0</v>
      </c>
      <c r="I132" s="7">
        <f t="shared" si="3"/>
        <v>0</v>
      </c>
      <c r="K132" s="1">
        <v>1</v>
      </c>
      <c r="L132" s="1">
        <f>((Fórmulas!C$6/Fórmulas!D$6)/0.7)*K132</f>
        <v>2.4489795918367347</v>
      </c>
      <c r="M132" s="1">
        <f>L132*Fórmulas!D$6</f>
        <v>857.14285714285711</v>
      </c>
    </row>
    <row r="133" spans="1:13" x14ac:dyDescent="0.25">
      <c r="A133" s="2"/>
      <c r="B133" s="25"/>
      <c r="C133" s="25"/>
      <c r="D133" s="25"/>
      <c r="E133" s="2">
        <v>0</v>
      </c>
      <c r="G133" s="1">
        <f>((Fórmulas!C$6/Fórmulas!D$6)/Fórmulas!E$6)*E133</f>
        <v>0</v>
      </c>
      <c r="H133" s="1">
        <f>G133*Fórmulas!B$9</f>
        <v>0</v>
      </c>
      <c r="I133" s="7">
        <f t="shared" si="3"/>
        <v>0</v>
      </c>
      <c r="K133" s="1">
        <v>1</v>
      </c>
      <c r="L133" s="1">
        <f>((Fórmulas!C$6/Fórmulas!D$6)/0.7)*K133</f>
        <v>2.4489795918367347</v>
      </c>
      <c r="M133" s="1">
        <f>L133*Fórmulas!D$6</f>
        <v>857.14285714285711</v>
      </c>
    </row>
    <row r="134" spans="1:13" x14ac:dyDescent="0.25">
      <c r="A134" s="2"/>
      <c r="B134" s="26"/>
      <c r="C134" s="26"/>
      <c r="D134" s="26"/>
      <c r="E134" s="2">
        <v>0</v>
      </c>
      <c r="G134" s="1">
        <f>((Fórmulas!C$6/Fórmulas!D$6)/Fórmulas!E$6)*E134</f>
        <v>0</v>
      </c>
      <c r="H134" s="1">
        <f>G134*Fórmulas!B$9</f>
        <v>0</v>
      </c>
      <c r="I134" s="7">
        <f t="shared" si="3"/>
        <v>0</v>
      </c>
      <c r="K134" s="1">
        <v>1</v>
      </c>
      <c r="L134" s="1">
        <f>((Fórmulas!C$6/Fórmulas!D$6)/0.7)*K134</f>
        <v>2.4489795918367347</v>
      </c>
      <c r="M134" s="1">
        <f>L134*Fórmulas!D$6</f>
        <v>857.14285714285711</v>
      </c>
    </row>
    <row r="135" spans="1:13" x14ac:dyDescent="0.25">
      <c r="A135" s="2"/>
      <c r="B135" s="26"/>
      <c r="C135" s="26"/>
      <c r="D135" s="26"/>
      <c r="E135" s="2">
        <v>0</v>
      </c>
      <c r="G135" s="1">
        <f>((Fórmulas!C$6/Fórmulas!D$6)/Fórmulas!E$6)*E135</f>
        <v>0</v>
      </c>
      <c r="H135" s="1">
        <f>G135*Fórmulas!B$9</f>
        <v>0</v>
      </c>
      <c r="I135" s="7">
        <f t="shared" si="3"/>
        <v>0</v>
      </c>
      <c r="K135" s="1">
        <v>1</v>
      </c>
      <c r="L135" s="1">
        <f>((Fórmulas!C$6/Fórmulas!D$6)/0.7)*K135</f>
        <v>2.4489795918367347</v>
      </c>
      <c r="M135" s="1">
        <f>L135*Fórmulas!D$6</f>
        <v>857.14285714285711</v>
      </c>
    </row>
    <row r="136" spans="1:13" x14ac:dyDescent="0.25">
      <c r="A136" s="2"/>
      <c r="B136" s="26"/>
      <c r="C136" s="26"/>
      <c r="D136" s="26"/>
      <c r="E136" s="2">
        <v>0</v>
      </c>
      <c r="G136" s="1">
        <f>((Fórmulas!C$6/Fórmulas!D$6)/Fórmulas!E$6)*E136</f>
        <v>0</v>
      </c>
      <c r="H136" s="1">
        <f>G136*Fórmulas!B$9</f>
        <v>0</v>
      </c>
      <c r="I136" s="7">
        <f t="shared" si="3"/>
        <v>0</v>
      </c>
      <c r="K136" s="1">
        <v>1</v>
      </c>
      <c r="L136" s="1">
        <f>((Fórmulas!C$6/Fórmulas!D$6)/0.7)*K136</f>
        <v>2.4489795918367347</v>
      </c>
      <c r="M136" s="1">
        <f>L136*Fórmulas!D$6</f>
        <v>857.14285714285711</v>
      </c>
    </row>
    <row r="137" spans="1:13" x14ac:dyDescent="0.25">
      <c r="A137" s="2"/>
      <c r="B137" s="26"/>
      <c r="C137" s="26"/>
      <c r="D137" s="26"/>
      <c r="E137" s="2">
        <v>0</v>
      </c>
      <c r="G137" s="1">
        <f>((Fórmulas!C$6/Fórmulas!D$6)/Fórmulas!E$6)*E137</f>
        <v>0</v>
      </c>
      <c r="H137" s="1">
        <f>G137*Fórmulas!B$9</f>
        <v>0</v>
      </c>
      <c r="I137" s="7">
        <f t="shared" si="3"/>
        <v>0</v>
      </c>
      <c r="K137" s="1">
        <v>1</v>
      </c>
      <c r="L137" s="1">
        <f>((Fórmulas!C$6/Fórmulas!D$6)/0.7)*K137</f>
        <v>2.4489795918367347</v>
      </c>
      <c r="M137" s="1">
        <f>L137*Fórmulas!D$6</f>
        <v>857.14285714285711</v>
      </c>
    </row>
    <row r="138" spans="1:13" x14ac:dyDescent="0.25">
      <c r="A138" s="2"/>
      <c r="B138" s="26"/>
      <c r="C138" s="26"/>
      <c r="D138" s="26"/>
      <c r="E138" s="2">
        <v>0</v>
      </c>
      <c r="G138" s="1">
        <f>((Fórmulas!C$6/Fórmulas!D$6)/Fórmulas!E$6)*E138</f>
        <v>0</v>
      </c>
      <c r="H138" s="1">
        <f>G138*Fórmulas!B$9</f>
        <v>0</v>
      </c>
      <c r="I138" s="7">
        <f t="shared" si="3"/>
        <v>0</v>
      </c>
      <c r="K138" s="1">
        <v>1</v>
      </c>
      <c r="L138" s="1">
        <f>((Fórmulas!C$6/Fórmulas!D$6)/0.7)*K138</f>
        <v>2.4489795918367347</v>
      </c>
      <c r="M138" s="1">
        <f>L138*Fórmulas!D$6</f>
        <v>857.14285714285711</v>
      </c>
    </row>
    <row r="139" spans="1:13" x14ac:dyDescent="0.25">
      <c r="A139" s="2"/>
      <c r="B139" s="26"/>
      <c r="C139" s="26"/>
      <c r="D139" s="26"/>
      <c r="E139" s="2">
        <v>0</v>
      </c>
      <c r="G139" s="1">
        <f>((Fórmulas!C$6/Fórmulas!D$6)/Fórmulas!E$6)*E139</f>
        <v>0</v>
      </c>
      <c r="H139" s="1">
        <f>G139*Fórmulas!B$9</f>
        <v>0</v>
      </c>
      <c r="I139" s="7">
        <f t="shared" si="3"/>
        <v>0</v>
      </c>
      <c r="K139" s="1">
        <v>1</v>
      </c>
      <c r="L139" s="1">
        <f>((Fórmulas!C$6/Fórmulas!D$6)/0.7)*K139</f>
        <v>2.4489795918367347</v>
      </c>
      <c r="M139" s="1">
        <f>L139*Fórmulas!D$6</f>
        <v>857.14285714285711</v>
      </c>
    </row>
    <row r="140" spans="1:13" x14ac:dyDescent="0.25">
      <c r="A140" s="2"/>
      <c r="B140" s="26"/>
      <c r="C140" s="26"/>
      <c r="D140" s="26"/>
      <c r="E140" s="2">
        <v>0</v>
      </c>
      <c r="G140" s="1">
        <f>((Fórmulas!C$6/Fórmulas!D$6)/Fórmulas!E$6)*E140</f>
        <v>0</v>
      </c>
      <c r="H140" s="1">
        <f>G140*Fórmulas!B$9</f>
        <v>0</v>
      </c>
      <c r="I140" s="7">
        <f t="shared" si="3"/>
        <v>0</v>
      </c>
      <c r="K140" s="1">
        <v>1</v>
      </c>
      <c r="L140" s="1">
        <f>((Fórmulas!C$6/Fórmulas!D$6)/0.7)*K140</f>
        <v>2.4489795918367347</v>
      </c>
      <c r="M140" s="1">
        <f>L140*Fórmulas!D$6</f>
        <v>857.14285714285711</v>
      </c>
    </row>
    <row r="141" spans="1:13" x14ac:dyDescent="0.25">
      <c r="A141" s="2"/>
      <c r="B141" s="26"/>
      <c r="C141" s="26"/>
      <c r="D141" s="26"/>
      <c r="E141" s="2">
        <v>0</v>
      </c>
      <c r="G141" s="1">
        <f>((Fórmulas!C$6/Fórmulas!D$6)/Fórmulas!E$6)*E141</f>
        <v>0</v>
      </c>
      <c r="H141" s="1">
        <f>G141*Fórmulas!B$9</f>
        <v>0</v>
      </c>
      <c r="I141" s="7">
        <f t="shared" si="3"/>
        <v>0</v>
      </c>
      <c r="K141" s="1">
        <v>1</v>
      </c>
      <c r="L141" s="1">
        <f>((Fórmulas!C$6/Fórmulas!D$6)/0.7)*K141</f>
        <v>2.4489795918367347</v>
      </c>
      <c r="M141" s="1">
        <f>L141*Fórmulas!D$6</f>
        <v>857.14285714285711</v>
      </c>
    </row>
    <row r="142" spans="1:13" x14ac:dyDescent="0.25">
      <c r="A142" s="2"/>
      <c r="B142" s="26"/>
      <c r="C142" s="26"/>
      <c r="D142" s="26"/>
      <c r="E142" s="2">
        <v>0</v>
      </c>
      <c r="G142" s="1">
        <f>((Fórmulas!C$6/Fórmulas!D$6)/Fórmulas!E$6)*E142</f>
        <v>0</v>
      </c>
      <c r="H142" s="1">
        <f>G142*Fórmulas!B$9</f>
        <v>0</v>
      </c>
      <c r="I142" s="7">
        <f t="shared" si="3"/>
        <v>0</v>
      </c>
      <c r="K142" s="1">
        <v>1</v>
      </c>
      <c r="L142" s="1">
        <f>((Fórmulas!C$6/Fórmulas!D$6)/0.7)*K142</f>
        <v>2.4489795918367347</v>
      </c>
      <c r="M142" s="1">
        <f>L142*Fórmulas!D$6</f>
        <v>857.14285714285711</v>
      </c>
    </row>
    <row r="143" spans="1:13" x14ac:dyDescent="0.25">
      <c r="A143" s="2"/>
      <c r="B143" s="26"/>
      <c r="C143" s="26"/>
      <c r="D143" s="26"/>
      <c r="E143" s="2">
        <v>0</v>
      </c>
      <c r="G143" s="1">
        <f>((Fórmulas!C$6/Fórmulas!D$6)/Fórmulas!E$6)*E143</f>
        <v>0</v>
      </c>
      <c r="H143" s="1">
        <f>G143*Fórmulas!B$9</f>
        <v>0</v>
      </c>
      <c r="I143" s="7">
        <f t="shared" si="3"/>
        <v>0</v>
      </c>
      <c r="K143" s="1">
        <v>1</v>
      </c>
      <c r="L143" s="1">
        <f>((Fórmulas!C$6/Fórmulas!D$6)/0.7)*K143</f>
        <v>2.4489795918367347</v>
      </c>
      <c r="M143" s="1">
        <f>L143*Fórmulas!D$6</f>
        <v>857.14285714285711</v>
      </c>
    </row>
    <row r="144" spans="1:13" x14ac:dyDescent="0.25">
      <c r="A144" s="2"/>
      <c r="B144" s="25"/>
      <c r="C144" s="25"/>
      <c r="D144" s="25"/>
      <c r="E144" s="2">
        <v>0</v>
      </c>
      <c r="G144" s="1">
        <f>((Fórmulas!C$6/Fórmulas!D$6)/Fórmulas!E$6)*E144</f>
        <v>0</v>
      </c>
      <c r="H144" s="1">
        <f>G144*Fórmulas!B$9</f>
        <v>0</v>
      </c>
      <c r="I144" s="7">
        <f t="shared" si="3"/>
        <v>0</v>
      </c>
      <c r="K144" s="1">
        <v>1</v>
      </c>
      <c r="L144" s="1">
        <f>((Fórmulas!C$6/Fórmulas!D$6)/0.7)*K144</f>
        <v>2.4489795918367347</v>
      </c>
      <c r="M144" s="1">
        <f>L144*Fórmulas!D$6</f>
        <v>857.14285714285711</v>
      </c>
    </row>
    <row r="145" spans="1:13" x14ac:dyDescent="0.25">
      <c r="A145" s="2"/>
      <c r="B145" s="26"/>
      <c r="C145" s="26"/>
      <c r="D145" s="26"/>
      <c r="E145" s="2">
        <v>0</v>
      </c>
      <c r="G145" s="1">
        <f>((Fórmulas!C$6/Fórmulas!D$6)/Fórmulas!E$6)*E145</f>
        <v>0</v>
      </c>
      <c r="H145" s="1">
        <f>G145*Fórmulas!B$9</f>
        <v>0</v>
      </c>
      <c r="I145" s="7">
        <f t="shared" ref="I145:I208" si="4">E145/0.6</f>
        <v>0</v>
      </c>
      <c r="K145" s="1">
        <v>1</v>
      </c>
      <c r="L145" s="1">
        <f>((Fórmulas!C$6/Fórmulas!D$6)/0.7)*K145</f>
        <v>2.4489795918367347</v>
      </c>
      <c r="M145" s="1">
        <f>L145*Fórmulas!D$6</f>
        <v>857.14285714285711</v>
      </c>
    </row>
    <row r="146" spans="1:13" x14ac:dyDescent="0.25">
      <c r="A146" s="2"/>
      <c r="B146" s="26"/>
      <c r="C146" s="26"/>
      <c r="D146" s="26"/>
      <c r="E146" s="2">
        <v>0</v>
      </c>
      <c r="G146" s="1">
        <f>((Fórmulas!C$6/Fórmulas!D$6)/Fórmulas!E$6)*E146</f>
        <v>0</v>
      </c>
      <c r="H146" s="1">
        <f>G146*Fórmulas!B$9</f>
        <v>0</v>
      </c>
      <c r="I146" s="7">
        <f t="shared" si="4"/>
        <v>0</v>
      </c>
      <c r="K146" s="1">
        <v>1</v>
      </c>
      <c r="L146" s="1">
        <f>((Fórmulas!C$6/Fórmulas!D$6)/0.7)*K146</f>
        <v>2.4489795918367347</v>
      </c>
      <c r="M146" s="1">
        <f>L146*Fórmulas!D$6</f>
        <v>857.14285714285711</v>
      </c>
    </row>
    <row r="147" spans="1:13" x14ac:dyDescent="0.25">
      <c r="A147" s="2"/>
      <c r="B147" s="26"/>
      <c r="C147" s="26"/>
      <c r="D147" s="26"/>
      <c r="E147" s="2">
        <v>0</v>
      </c>
      <c r="G147" s="1">
        <f>((Fórmulas!C$6/Fórmulas!D$6)/Fórmulas!E$6)*E147</f>
        <v>0</v>
      </c>
      <c r="H147" s="1">
        <f>G147*Fórmulas!B$9</f>
        <v>0</v>
      </c>
      <c r="I147" s="7">
        <f t="shared" si="4"/>
        <v>0</v>
      </c>
      <c r="K147" s="1">
        <v>1</v>
      </c>
      <c r="L147" s="1">
        <f>((Fórmulas!C$6/Fórmulas!D$6)/0.7)*K147</f>
        <v>2.4489795918367347</v>
      </c>
      <c r="M147" s="1">
        <f>L147*Fórmulas!D$6</f>
        <v>857.14285714285711</v>
      </c>
    </row>
    <row r="148" spans="1:13" x14ac:dyDescent="0.25">
      <c r="A148" s="2"/>
      <c r="B148" s="26"/>
      <c r="C148" s="26"/>
      <c r="D148" s="26"/>
      <c r="E148" s="2">
        <v>0</v>
      </c>
      <c r="G148" s="1">
        <f>((Fórmulas!C$6/Fórmulas!D$6)/Fórmulas!E$6)*E148</f>
        <v>0</v>
      </c>
      <c r="H148" s="1">
        <f>G148*Fórmulas!B$9</f>
        <v>0</v>
      </c>
      <c r="I148" s="7">
        <f t="shared" si="4"/>
        <v>0</v>
      </c>
      <c r="K148" s="1">
        <v>1</v>
      </c>
      <c r="L148" s="1">
        <f>((Fórmulas!C$6/Fórmulas!D$6)/0.7)*K148</f>
        <v>2.4489795918367347</v>
      </c>
      <c r="M148" s="1">
        <f>L148*Fórmulas!D$6</f>
        <v>857.14285714285711</v>
      </c>
    </row>
    <row r="149" spans="1:13" x14ac:dyDescent="0.25">
      <c r="A149" s="2"/>
      <c r="B149" s="26"/>
      <c r="C149" s="26"/>
      <c r="D149" s="26"/>
      <c r="E149" s="2">
        <v>0</v>
      </c>
      <c r="G149" s="1">
        <f>((Fórmulas!C$6/Fórmulas!D$6)/Fórmulas!E$6)*E149</f>
        <v>0</v>
      </c>
      <c r="H149" s="1">
        <f>G149*Fórmulas!B$9</f>
        <v>0</v>
      </c>
      <c r="I149" s="7">
        <f t="shared" si="4"/>
        <v>0</v>
      </c>
      <c r="K149" s="1">
        <v>1</v>
      </c>
      <c r="L149" s="1">
        <f>((Fórmulas!C$6/Fórmulas!D$6)/0.7)*K149</f>
        <v>2.4489795918367347</v>
      </c>
      <c r="M149" s="1">
        <f>L149*Fórmulas!D$6</f>
        <v>857.14285714285711</v>
      </c>
    </row>
    <row r="150" spans="1:13" x14ac:dyDescent="0.25">
      <c r="A150" s="2"/>
      <c r="B150" s="26"/>
      <c r="C150" s="26"/>
      <c r="D150" s="26"/>
      <c r="E150" s="2">
        <v>0</v>
      </c>
      <c r="G150" s="1">
        <f>((Fórmulas!C$6/Fórmulas!D$6)/Fórmulas!E$6)*E150</f>
        <v>0</v>
      </c>
      <c r="H150" s="1">
        <f>G150*Fórmulas!B$9</f>
        <v>0</v>
      </c>
      <c r="I150" s="7">
        <f t="shared" si="4"/>
        <v>0</v>
      </c>
      <c r="K150" s="1">
        <v>1</v>
      </c>
      <c r="L150" s="1">
        <f>((Fórmulas!C$6/Fórmulas!D$6)/0.7)*K150</f>
        <v>2.4489795918367347</v>
      </c>
      <c r="M150" s="1">
        <f>L150*Fórmulas!D$6</f>
        <v>857.14285714285711</v>
      </c>
    </row>
    <row r="151" spans="1:13" x14ac:dyDescent="0.25">
      <c r="A151" s="2"/>
      <c r="B151" s="26"/>
      <c r="C151" s="26"/>
      <c r="D151" s="26"/>
      <c r="E151" s="2">
        <v>0</v>
      </c>
      <c r="G151" s="1">
        <f>((Fórmulas!C$6/Fórmulas!D$6)/Fórmulas!E$6)*E151</f>
        <v>0</v>
      </c>
      <c r="H151" s="1">
        <f>G151*Fórmulas!B$9</f>
        <v>0</v>
      </c>
      <c r="I151" s="7">
        <f t="shared" si="4"/>
        <v>0</v>
      </c>
      <c r="K151" s="1">
        <v>1</v>
      </c>
      <c r="L151" s="1">
        <f>((Fórmulas!C$6/Fórmulas!D$6)/0.7)*K151</f>
        <v>2.4489795918367347</v>
      </c>
      <c r="M151" s="1">
        <f>L151*Fórmulas!D$6</f>
        <v>857.14285714285711</v>
      </c>
    </row>
    <row r="152" spans="1:13" x14ac:dyDescent="0.25">
      <c r="A152" s="2"/>
      <c r="B152" s="26"/>
      <c r="C152" s="26"/>
      <c r="D152" s="26"/>
      <c r="E152" s="2">
        <v>0</v>
      </c>
      <c r="G152" s="1">
        <f>((Fórmulas!C$6/Fórmulas!D$6)/Fórmulas!E$6)*E152</f>
        <v>0</v>
      </c>
      <c r="H152" s="1">
        <f>G152*Fórmulas!B$9</f>
        <v>0</v>
      </c>
      <c r="I152" s="7">
        <f t="shared" si="4"/>
        <v>0</v>
      </c>
      <c r="K152" s="1">
        <v>1</v>
      </c>
      <c r="L152" s="1">
        <f>((Fórmulas!C$6/Fórmulas!D$6)/0.7)*K152</f>
        <v>2.4489795918367347</v>
      </c>
      <c r="M152" s="1">
        <f>L152*Fórmulas!D$6</f>
        <v>857.14285714285711</v>
      </c>
    </row>
    <row r="153" spans="1:13" x14ac:dyDescent="0.25">
      <c r="A153" s="2"/>
      <c r="B153" s="26"/>
      <c r="C153" s="26"/>
      <c r="D153" s="26"/>
      <c r="E153" s="2">
        <v>0</v>
      </c>
      <c r="G153" s="1">
        <f>((Fórmulas!C$6/Fórmulas!D$6)/Fórmulas!E$6)*E153</f>
        <v>0</v>
      </c>
      <c r="H153" s="1">
        <f>G153*Fórmulas!B$9</f>
        <v>0</v>
      </c>
      <c r="I153" s="7">
        <f t="shared" si="4"/>
        <v>0</v>
      </c>
      <c r="K153" s="1">
        <v>1</v>
      </c>
      <c r="L153" s="1">
        <f>((Fórmulas!C$6/Fórmulas!D$6)/0.7)*K153</f>
        <v>2.4489795918367347</v>
      </c>
      <c r="M153" s="1">
        <f>L153*Fórmulas!D$6</f>
        <v>857.14285714285711</v>
      </c>
    </row>
    <row r="154" spans="1:13" x14ac:dyDescent="0.25">
      <c r="A154" s="2"/>
      <c r="B154" s="26"/>
      <c r="C154" s="26"/>
      <c r="D154" s="26"/>
      <c r="E154" s="2">
        <v>0</v>
      </c>
      <c r="G154" s="1">
        <f>((Fórmulas!C$6/Fórmulas!D$6)/Fórmulas!E$6)*E154</f>
        <v>0</v>
      </c>
      <c r="H154" s="1">
        <f>G154*Fórmulas!B$9</f>
        <v>0</v>
      </c>
      <c r="I154" s="7">
        <f t="shared" si="4"/>
        <v>0</v>
      </c>
      <c r="K154" s="1">
        <v>1</v>
      </c>
      <c r="L154" s="1">
        <f>((Fórmulas!C$6/Fórmulas!D$6)/0.7)*K154</f>
        <v>2.4489795918367347</v>
      </c>
      <c r="M154" s="1">
        <f>L154*Fórmulas!D$6</f>
        <v>857.14285714285711</v>
      </c>
    </row>
    <row r="155" spans="1:13" x14ac:dyDescent="0.25">
      <c r="B155" s="25"/>
      <c r="C155" s="25"/>
      <c r="D155" s="25"/>
      <c r="E155">
        <v>0</v>
      </c>
      <c r="G155" s="1">
        <f>((Fórmulas!C$6/Fórmulas!D$6)/Fórmulas!E$6)*E155</f>
        <v>0</v>
      </c>
      <c r="H155" s="1">
        <f>G155*Fórmulas!B$9</f>
        <v>0</v>
      </c>
      <c r="I155" s="7">
        <f t="shared" si="4"/>
        <v>0</v>
      </c>
      <c r="K155" s="1">
        <v>1</v>
      </c>
      <c r="L155" s="1">
        <f>((Fórmulas!C$6/Fórmulas!D$6)/0.7)*K155</f>
        <v>2.4489795918367347</v>
      </c>
      <c r="M155" s="1">
        <f>L155*Fórmulas!D$6</f>
        <v>857.14285714285711</v>
      </c>
    </row>
    <row r="156" spans="1:13" x14ac:dyDescent="0.25">
      <c r="B156" s="26"/>
      <c r="C156" s="26"/>
      <c r="D156" s="26"/>
      <c r="E156">
        <v>0</v>
      </c>
      <c r="G156" s="1">
        <f>((Fórmulas!C$6/Fórmulas!D$6)/Fórmulas!E$6)*E156</f>
        <v>0</v>
      </c>
      <c r="H156" s="1">
        <f>G156*Fórmulas!B$9</f>
        <v>0</v>
      </c>
      <c r="I156" s="7">
        <f t="shared" si="4"/>
        <v>0</v>
      </c>
      <c r="K156" s="1">
        <v>1</v>
      </c>
      <c r="L156" s="1">
        <f>((Fórmulas!C$6/Fórmulas!D$6)/0.7)*K156</f>
        <v>2.4489795918367347</v>
      </c>
      <c r="M156" s="1">
        <f>L156*Fórmulas!D$6</f>
        <v>857.14285714285711</v>
      </c>
    </row>
    <row r="157" spans="1:13" x14ac:dyDescent="0.25">
      <c r="A157" s="2"/>
      <c r="B157" s="26"/>
      <c r="C157" s="26"/>
      <c r="D157" s="26"/>
      <c r="E157">
        <v>0</v>
      </c>
      <c r="G157" s="1">
        <f>((Fórmulas!C$6/Fórmulas!D$6)/Fórmulas!E$6)*E157</f>
        <v>0</v>
      </c>
      <c r="H157" s="1">
        <f>G157*Fórmulas!B$9</f>
        <v>0</v>
      </c>
      <c r="I157" s="7">
        <f t="shared" si="4"/>
        <v>0</v>
      </c>
      <c r="K157" s="1">
        <v>1</v>
      </c>
      <c r="L157" s="1">
        <f>((Fórmulas!C$6/Fórmulas!D$6)/0.7)*K157</f>
        <v>2.4489795918367347</v>
      </c>
      <c r="M157" s="1">
        <f>L157*Fórmulas!D$6</f>
        <v>857.14285714285711</v>
      </c>
    </row>
    <row r="158" spans="1:13" x14ac:dyDescent="0.25">
      <c r="A158" s="2"/>
      <c r="B158" s="26"/>
      <c r="C158" s="26"/>
      <c r="D158" s="26"/>
      <c r="E158">
        <v>0</v>
      </c>
      <c r="G158" s="1">
        <f>((Fórmulas!C$6/Fórmulas!D$6)/Fórmulas!E$6)*E158</f>
        <v>0</v>
      </c>
      <c r="H158" s="1">
        <f>G158*Fórmulas!B$9</f>
        <v>0</v>
      </c>
      <c r="I158" s="7">
        <f t="shared" si="4"/>
        <v>0</v>
      </c>
      <c r="K158" s="1">
        <v>1</v>
      </c>
      <c r="L158" s="1">
        <f>((Fórmulas!C$6/Fórmulas!D$6)/0.7)*K158</f>
        <v>2.4489795918367347</v>
      </c>
      <c r="M158" s="1">
        <f>L158*Fórmulas!D$6</f>
        <v>857.14285714285711</v>
      </c>
    </row>
    <row r="159" spans="1:13" x14ac:dyDescent="0.25">
      <c r="A159" s="2"/>
      <c r="B159" s="26"/>
      <c r="C159" s="26"/>
      <c r="D159" s="26"/>
      <c r="E159">
        <v>0</v>
      </c>
      <c r="G159" s="1">
        <f>((Fórmulas!C$6/Fórmulas!D$6)/Fórmulas!E$6)*E159</f>
        <v>0</v>
      </c>
      <c r="H159" s="1">
        <f>G159*Fórmulas!B$9</f>
        <v>0</v>
      </c>
      <c r="I159" s="7">
        <f t="shared" si="4"/>
        <v>0</v>
      </c>
      <c r="K159" s="1">
        <v>1</v>
      </c>
      <c r="L159" s="1">
        <f>((Fórmulas!C$6/Fórmulas!D$6)/0.7)*K159</f>
        <v>2.4489795918367347</v>
      </c>
      <c r="M159" s="1">
        <f>L159*Fórmulas!D$6</f>
        <v>857.14285714285711</v>
      </c>
    </row>
    <row r="160" spans="1:13" x14ac:dyDescent="0.25">
      <c r="A160" s="2"/>
      <c r="B160" s="26"/>
      <c r="C160" s="26"/>
      <c r="D160" s="26"/>
      <c r="E160" s="2">
        <v>0</v>
      </c>
      <c r="G160" s="1">
        <f>((Fórmulas!C$6/Fórmulas!D$6)/Fórmulas!E$6)*E160</f>
        <v>0</v>
      </c>
      <c r="H160" s="1">
        <f>G160*Fórmulas!B$9</f>
        <v>0</v>
      </c>
      <c r="I160" s="7">
        <f t="shared" si="4"/>
        <v>0</v>
      </c>
      <c r="K160" s="1">
        <v>1</v>
      </c>
      <c r="L160" s="1">
        <f>((Fórmulas!C$6/Fórmulas!D$6)/0.7)*K160</f>
        <v>2.4489795918367347</v>
      </c>
      <c r="M160" s="1">
        <f>L160*Fórmulas!D$6</f>
        <v>857.14285714285711</v>
      </c>
    </row>
    <row r="161" spans="1:13" x14ac:dyDescent="0.25">
      <c r="A161" s="2"/>
      <c r="B161" s="26"/>
      <c r="C161" s="26"/>
      <c r="D161" s="26"/>
      <c r="E161" s="2">
        <v>0</v>
      </c>
      <c r="G161" s="1">
        <f>((Fórmulas!C$6/Fórmulas!D$6)/Fórmulas!E$6)*E161</f>
        <v>0</v>
      </c>
      <c r="H161" s="1">
        <f>G161*Fórmulas!B$9</f>
        <v>0</v>
      </c>
      <c r="I161" s="7">
        <f t="shared" si="4"/>
        <v>0</v>
      </c>
      <c r="K161" s="1">
        <v>1</v>
      </c>
      <c r="L161" s="1">
        <f>((Fórmulas!C$6/Fórmulas!D$6)/0.7)*K161</f>
        <v>2.4489795918367347</v>
      </c>
      <c r="M161" s="1">
        <f>L161*Fórmulas!D$6</f>
        <v>857.14285714285711</v>
      </c>
    </row>
    <row r="162" spans="1:13" x14ac:dyDescent="0.25">
      <c r="A162" s="2"/>
      <c r="B162" s="26"/>
      <c r="C162" s="26"/>
      <c r="D162" s="26"/>
      <c r="E162" s="2">
        <v>0</v>
      </c>
      <c r="G162" s="1">
        <f>((Fórmulas!C$6/Fórmulas!D$6)/Fórmulas!E$6)*E162</f>
        <v>0</v>
      </c>
      <c r="H162" s="1">
        <f>G162*Fórmulas!B$9</f>
        <v>0</v>
      </c>
      <c r="I162" s="7">
        <f t="shared" si="4"/>
        <v>0</v>
      </c>
      <c r="K162" s="1">
        <v>1</v>
      </c>
      <c r="L162" s="1">
        <f>((Fórmulas!C$6/Fórmulas!D$6)/0.7)*K162</f>
        <v>2.4489795918367347</v>
      </c>
      <c r="M162" s="1">
        <f>L162*Fórmulas!D$6</f>
        <v>857.14285714285711</v>
      </c>
    </row>
    <row r="163" spans="1:13" x14ac:dyDescent="0.25">
      <c r="A163" s="2"/>
      <c r="B163" s="26"/>
      <c r="C163" s="26"/>
      <c r="D163" s="26"/>
      <c r="E163" s="2">
        <v>0</v>
      </c>
      <c r="G163" s="1">
        <f>((Fórmulas!C$6/Fórmulas!D$6)/Fórmulas!E$6)*E163</f>
        <v>0</v>
      </c>
      <c r="H163" s="1">
        <f>G163*Fórmulas!B$9</f>
        <v>0</v>
      </c>
      <c r="I163" s="7">
        <f t="shared" si="4"/>
        <v>0</v>
      </c>
      <c r="K163" s="1">
        <v>1</v>
      </c>
      <c r="L163" s="1">
        <f>((Fórmulas!C$6/Fórmulas!D$6)/0.7)*K163</f>
        <v>2.4489795918367347</v>
      </c>
      <c r="M163" s="1">
        <f>L163*Fórmulas!D$6</f>
        <v>857.14285714285711</v>
      </c>
    </row>
    <row r="164" spans="1:13" x14ac:dyDescent="0.25">
      <c r="A164" s="2"/>
      <c r="B164" s="26"/>
      <c r="C164" s="26"/>
      <c r="D164" s="26"/>
      <c r="E164" s="2">
        <v>0</v>
      </c>
      <c r="G164" s="1">
        <f>((Fórmulas!C$6/Fórmulas!D$6)/Fórmulas!E$6)*E164</f>
        <v>0</v>
      </c>
      <c r="H164" s="1">
        <f>G164*Fórmulas!B$9</f>
        <v>0</v>
      </c>
      <c r="I164" s="7">
        <f t="shared" si="4"/>
        <v>0</v>
      </c>
      <c r="K164" s="1">
        <v>1</v>
      </c>
      <c r="L164" s="1">
        <f>((Fórmulas!C$6/Fórmulas!D$6)/0.7)*K164</f>
        <v>2.4489795918367347</v>
      </c>
      <c r="M164" s="1">
        <f>L164*Fórmulas!D$6</f>
        <v>857.14285714285711</v>
      </c>
    </row>
    <row r="165" spans="1:13" x14ac:dyDescent="0.25">
      <c r="A165" s="2"/>
      <c r="B165" s="26"/>
      <c r="C165" s="26"/>
      <c r="D165" s="26"/>
      <c r="E165" s="2">
        <v>0</v>
      </c>
      <c r="G165" s="1">
        <f>((Fórmulas!C$6/Fórmulas!D$6)/Fórmulas!E$6)*E165</f>
        <v>0</v>
      </c>
      <c r="H165" s="1">
        <f>G165*Fórmulas!B$9</f>
        <v>0</v>
      </c>
      <c r="I165" s="7">
        <f t="shared" si="4"/>
        <v>0</v>
      </c>
      <c r="K165" s="1">
        <v>1</v>
      </c>
      <c r="L165" s="1">
        <f>((Fórmulas!C$6/Fórmulas!D$6)/0.7)*K165</f>
        <v>2.4489795918367347</v>
      </c>
      <c r="M165" s="1">
        <f>L165*Fórmulas!D$6</f>
        <v>857.14285714285711</v>
      </c>
    </row>
    <row r="166" spans="1:13" x14ac:dyDescent="0.25">
      <c r="A166" s="2"/>
      <c r="B166" s="26"/>
      <c r="C166" s="26"/>
      <c r="D166" s="26"/>
      <c r="E166" s="2">
        <v>0</v>
      </c>
      <c r="G166" s="1">
        <f>((Fórmulas!C$6/Fórmulas!D$6)/Fórmulas!E$6)*E166</f>
        <v>0</v>
      </c>
      <c r="H166" s="1">
        <f>G166*Fórmulas!B$9</f>
        <v>0</v>
      </c>
      <c r="I166" s="7">
        <f t="shared" si="4"/>
        <v>0</v>
      </c>
      <c r="K166" s="1">
        <v>1</v>
      </c>
      <c r="L166" s="1">
        <f>((Fórmulas!C$6/Fórmulas!D$6)/0.7)*K166</f>
        <v>2.4489795918367347</v>
      </c>
      <c r="M166" s="1">
        <f>L166*Fórmulas!D$6</f>
        <v>857.14285714285711</v>
      </c>
    </row>
    <row r="167" spans="1:13" x14ac:dyDescent="0.25">
      <c r="A167" s="2"/>
      <c r="B167" s="26"/>
      <c r="C167" s="26"/>
      <c r="D167" s="26"/>
      <c r="E167" s="2">
        <v>0</v>
      </c>
      <c r="G167" s="1">
        <f>((Fórmulas!C$6/Fórmulas!D$6)/Fórmulas!E$6)*E167</f>
        <v>0</v>
      </c>
      <c r="H167" s="1">
        <f>G167*Fórmulas!B$9</f>
        <v>0</v>
      </c>
      <c r="I167" s="7">
        <f t="shared" si="4"/>
        <v>0</v>
      </c>
      <c r="K167" s="1">
        <v>1</v>
      </c>
      <c r="L167" s="1">
        <f>((Fórmulas!C$6/Fórmulas!D$6)/0.7)*K167</f>
        <v>2.4489795918367347</v>
      </c>
      <c r="M167" s="1">
        <f>L167*Fórmulas!D$6</f>
        <v>857.14285714285711</v>
      </c>
    </row>
    <row r="168" spans="1:13" x14ac:dyDescent="0.25">
      <c r="B168" s="25"/>
      <c r="C168" s="25"/>
      <c r="D168" s="25"/>
      <c r="E168">
        <v>0</v>
      </c>
      <c r="G168" s="1">
        <f>((Fórmulas!C$6/Fórmulas!D$6)/Fórmulas!E$6)*E168</f>
        <v>0</v>
      </c>
      <c r="H168" s="1">
        <f>G168*Fórmulas!B$9</f>
        <v>0</v>
      </c>
      <c r="I168" s="7">
        <f t="shared" si="4"/>
        <v>0</v>
      </c>
      <c r="K168" s="1">
        <v>1</v>
      </c>
      <c r="L168" s="1">
        <f>((Fórmulas!C$6/Fórmulas!D$6)/0.7)*K168</f>
        <v>2.4489795918367347</v>
      </c>
      <c r="M168" s="1">
        <f>L168*Fórmulas!D$6</f>
        <v>857.14285714285711</v>
      </c>
    </row>
    <row r="169" spans="1:13" x14ac:dyDescent="0.25">
      <c r="B169" s="26"/>
      <c r="C169" s="26"/>
      <c r="D169" s="26"/>
      <c r="E169">
        <v>0</v>
      </c>
      <c r="G169" s="1">
        <f>((Fórmulas!C$6/Fórmulas!D$6)/Fórmulas!E$6)*E169</f>
        <v>0</v>
      </c>
      <c r="H169" s="1">
        <f>G169*Fórmulas!B$9</f>
        <v>0</v>
      </c>
      <c r="I169" s="7">
        <f t="shared" si="4"/>
        <v>0</v>
      </c>
      <c r="K169" s="1">
        <v>1</v>
      </c>
      <c r="L169" s="1">
        <f>((Fórmulas!C$6/Fórmulas!D$6)/0.7)*K169</f>
        <v>2.4489795918367347</v>
      </c>
      <c r="M169" s="1">
        <f>L169*Fórmulas!D$6</f>
        <v>857.14285714285711</v>
      </c>
    </row>
    <row r="170" spans="1:13" x14ac:dyDescent="0.25">
      <c r="A170" s="2"/>
      <c r="B170" s="26"/>
      <c r="C170" s="26"/>
      <c r="D170" s="26"/>
      <c r="E170">
        <v>0</v>
      </c>
      <c r="G170" s="1">
        <f>((Fórmulas!C$6/Fórmulas!D$6)/Fórmulas!E$6)*E170</f>
        <v>0</v>
      </c>
      <c r="H170" s="1">
        <f>G170*Fórmulas!B$9</f>
        <v>0</v>
      </c>
      <c r="I170" s="7">
        <f t="shared" si="4"/>
        <v>0</v>
      </c>
      <c r="K170" s="1">
        <v>1</v>
      </c>
      <c r="L170" s="1">
        <f>((Fórmulas!C$6/Fórmulas!D$6)/0.7)*K170</f>
        <v>2.4489795918367347</v>
      </c>
      <c r="M170" s="1">
        <f>L170*Fórmulas!D$6</f>
        <v>857.14285714285711</v>
      </c>
    </row>
    <row r="171" spans="1:13" x14ac:dyDescent="0.25">
      <c r="A171" s="2"/>
      <c r="B171" s="26"/>
      <c r="C171" s="26"/>
      <c r="D171" s="26"/>
      <c r="E171">
        <v>0</v>
      </c>
      <c r="G171" s="1">
        <f>((Fórmulas!C$6/Fórmulas!D$6)/Fórmulas!E$6)*E171</f>
        <v>0</v>
      </c>
      <c r="H171" s="1">
        <f>G171*Fórmulas!B$9</f>
        <v>0</v>
      </c>
      <c r="I171" s="7">
        <f t="shared" si="4"/>
        <v>0</v>
      </c>
      <c r="K171" s="1">
        <v>1</v>
      </c>
      <c r="L171" s="1">
        <f>((Fórmulas!C$6/Fórmulas!D$6)/0.7)*K171</f>
        <v>2.4489795918367347</v>
      </c>
      <c r="M171" s="1">
        <f>L171*Fórmulas!D$6</f>
        <v>857.14285714285711</v>
      </c>
    </row>
    <row r="172" spans="1:13" x14ac:dyDescent="0.25">
      <c r="A172" s="2"/>
      <c r="B172" s="26"/>
      <c r="C172" s="26"/>
      <c r="D172" s="26"/>
      <c r="E172">
        <v>0</v>
      </c>
      <c r="G172" s="1">
        <f>((Fórmulas!C$6/Fórmulas!D$6)/Fórmulas!E$6)*E172</f>
        <v>0</v>
      </c>
      <c r="H172" s="1">
        <f>G172*Fórmulas!B$9</f>
        <v>0</v>
      </c>
      <c r="I172" s="7">
        <f t="shared" si="4"/>
        <v>0</v>
      </c>
      <c r="K172" s="1">
        <v>1</v>
      </c>
      <c r="L172" s="1">
        <f>((Fórmulas!C$6/Fórmulas!D$6)/0.7)*K172</f>
        <v>2.4489795918367347</v>
      </c>
      <c r="M172" s="1">
        <f>L172*Fórmulas!D$6</f>
        <v>857.14285714285711</v>
      </c>
    </row>
    <row r="173" spans="1:13" x14ac:dyDescent="0.25">
      <c r="A173" s="2"/>
      <c r="B173" s="26"/>
      <c r="C173" s="26"/>
      <c r="D173" s="26"/>
      <c r="E173" s="3">
        <v>0</v>
      </c>
      <c r="G173" s="1">
        <f>((Fórmulas!C$6/Fórmulas!D$6)/Fórmulas!E$6)*E173</f>
        <v>0</v>
      </c>
      <c r="H173" s="1">
        <f>G173*Fórmulas!B$9</f>
        <v>0</v>
      </c>
      <c r="I173" s="7">
        <f t="shared" si="4"/>
        <v>0</v>
      </c>
      <c r="K173" s="1">
        <v>1</v>
      </c>
      <c r="L173" s="1">
        <f>((Fórmulas!C$6/Fórmulas!D$6)/0.7)*K173</f>
        <v>2.4489795918367347</v>
      </c>
      <c r="M173" s="1">
        <f>L173*Fórmulas!D$6</f>
        <v>857.14285714285711</v>
      </c>
    </row>
    <row r="174" spans="1:13" x14ac:dyDescent="0.25">
      <c r="A174" s="2"/>
      <c r="B174" s="26"/>
      <c r="C174" s="26"/>
      <c r="D174" s="26"/>
      <c r="E174" s="3">
        <v>0</v>
      </c>
      <c r="G174" s="1">
        <f>((Fórmulas!C$6/Fórmulas!D$6)/Fórmulas!E$6)*E174</f>
        <v>0</v>
      </c>
      <c r="H174" s="1">
        <f>G174*Fórmulas!B$9</f>
        <v>0</v>
      </c>
      <c r="I174" s="7">
        <f t="shared" si="4"/>
        <v>0</v>
      </c>
      <c r="K174" s="1">
        <v>1</v>
      </c>
      <c r="L174" s="1">
        <f>((Fórmulas!C$6/Fórmulas!D$6)/0.7)*K174</f>
        <v>2.4489795918367347</v>
      </c>
      <c r="M174" s="1">
        <f>L174*Fórmulas!D$6</f>
        <v>857.14285714285711</v>
      </c>
    </row>
    <row r="175" spans="1:13" x14ac:dyDescent="0.25">
      <c r="A175" s="2"/>
      <c r="B175" s="26"/>
      <c r="C175" s="26"/>
      <c r="D175" s="26"/>
      <c r="E175" s="3">
        <v>0</v>
      </c>
      <c r="G175" s="1">
        <f>((Fórmulas!C$6/Fórmulas!D$6)/Fórmulas!E$6)*E175</f>
        <v>0</v>
      </c>
      <c r="H175" s="1">
        <f>G175*Fórmulas!B$9</f>
        <v>0</v>
      </c>
      <c r="I175" s="7">
        <f t="shared" si="4"/>
        <v>0</v>
      </c>
      <c r="K175" s="1">
        <v>1</v>
      </c>
      <c r="L175" s="1">
        <f>((Fórmulas!C$6/Fórmulas!D$6)/0.7)*K175</f>
        <v>2.4489795918367347</v>
      </c>
      <c r="M175" s="1">
        <f>L175*Fórmulas!D$6</f>
        <v>857.14285714285711</v>
      </c>
    </row>
    <row r="176" spans="1:13" x14ac:dyDescent="0.25">
      <c r="A176" s="2"/>
      <c r="B176" s="26"/>
      <c r="C176" s="26"/>
      <c r="D176" s="26"/>
      <c r="E176" s="3">
        <v>0</v>
      </c>
      <c r="G176" s="1">
        <f>((Fórmulas!C$6/Fórmulas!D$6)/Fórmulas!E$6)*E176</f>
        <v>0</v>
      </c>
      <c r="H176" s="1">
        <f>G176*Fórmulas!B$9</f>
        <v>0</v>
      </c>
      <c r="I176" s="7">
        <f t="shared" si="4"/>
        <v>0</v>
      </c>
      <c r="K176" s="1">
        <v>1</v>
      </c>
      <c r="L176" s="1">
        <f>((Fórmulas!C$6/Fórmulas!D$6)/0.7)*K176</f>
        <v>2.4489795918367347</v>
      </c>
      <c r="M176" s="1">
        <f>L176*Fórmulas!D$6</f>
        <v>857.14285714285711</v>
      </c>
    </row>
    <row r="177" spans="1:13" x14ac:dyDescent="0.25">
      <c r="A177" s="2"/>
      <c r="B177" s="26"/>
      <c r="C177" s="26"/>
      <c r="D177" s="26"/>
      <c r="E177" s="3">
        <v>0</v>
      </c>
      <c r="G177" s="1">
        <f>((Fórmulas!C$6/Fórmulas!D$6)/Fórmulas!E$6)*E177</f>
        <v>0</v>
      </c>
      <c r="H177" s="1">
        <f>G177*Fórmulas!B$9</f>
        <v>0</v>
      </c>
      <c r="I177" s="7">
        <f t="shared" si="4"/>
        <v>0</v>
      </c>
      <c r="K177" s="1">
        <v>1</v>
      </c>
      <c r="L177" s="1">
        <f>((Fórmulas!C$6/Fórmulas!D$6)/0.7)*K177</f>
        <v>2.4489795918367347</v>
      </c>
      <c r="M177" s="1">
        <f>L177*Fórmulas!D$6</f>
        <v>857.14285714285711</v>
      </c>
    </row>
    <row r="178" spans="1:13" x14ac:dyDescent="0.25">
      <c r="A178" s="2"/>
      <c r="B178" s="26"/>
      <c r="C178" s="26"/>
      <c r="D178" s="26"/>
      <c r="E178" s="3">
        <v>0</v>
      </c>
      <c r="G178" s="1">
        <f>((Fórmulas!C$6/Fórmulas!D$6)/Fórmulas!E$6)*E178</f>
        <v>0</v>
      </c>
      <c r="H178" s="1">
        <f>G178*Fórmulas!B$9</f>
        <v>0</v>
      </c>
      <c r="I178" s="7">
        <f t="shared" si="4"/>
        <v>0</v>
      </c>
      <c r="K178" s="1">
        <v>1</v>
      </c>
      <c r="L178" s="1">
        <f>((Fórmulas!C$6/Fórmulas!D$6)/0.7)*K178</f>
        <v>2.4489795918367347</v>
      </c>
      <c r="M178" s="1">
        <f>L178*Fórmulas!D$6</f>
        <v>857.14285714285711</v>
      </c>
    </row>
    <row r="179" spans="1:13" x14ac:dyDescent="0.25">
      <c r="A179" s="2"/>
      <c r="B179" s="26"/>
      <c r="C179" s="26"/>
      <c r="D179" s="26"/>
      <c r="E179" s="3">
        <v>0</v>
      </c>
      <c r="G179" s="1">
        <f>((Fórmulas!C$6/Fórmulas!D$6)/Fórmulas!E$6)*E179</f>
        <v>0</v>
      </c>
      <c r="H179" s="1">
        <f>G179*Fórmulas!B$9</f>
        <v>0</v>
      </c>
      <c r="I179" s="7">
        <f t="shared" si="4"/>
        <v>0</v>
      </c>
      <c r="K179" s="1">
        <v>1</v>
      </c>
      <c r="L179" s="1">
        <f>((Fórmulas!C$6/Fórmulas!D$6)/0.7)*K179</f>
        <v>2.4489795918367347</v>
      </c>
      <c r="M179" s="1">
        <f>L179*Fórmulas!D$6</f>
        <v>857.14285714285711</v>
      </c>
    </row>
    <row r="180" spans="1:13" x14ac:dyDescent="0.25">
      <c r="A180" s="2"/>
      <c r="B180" s="26"/>
      <c r="C180" s="26"/>
      <c r="D180" s="26"/>
      <c r="E180" s="3">
        <v>0</v>
      </c>
      <c r="G180" s="1">
        <f>((Fórmulas!C$6/Fórmulas!D$6)/Fórmulas!E$6)*E180</f>
        <v>0</v>
      </c>
      <c r="H180" s="1">
        <f>G180*Fórmulas!B$9</f>
        <v>0</v>
      </c>
      <c r="I180" s="7">
        <f t="shared" si="4"/>
        <v>0</v>
      </c>
      <c r="K180" s="1">
        <v>1</v>
      </c>
      <c r="L180" s="1">
        <f>((Fórmulas!C$6/Fórmulas!D$6)/0.7)*K180</f>
        <v>2.4489795918367347</v>
      </c>
      <c r="M180" s="1">
        <f>L180*Fórmulas!D$6</f>
        <v>857.14285714285711</v>
      </c>
    </row>
    <row r="181" spans="1:13" x14ac:dyDescent="0.25">
      <c r="A181" s="2"/>
      <c r="B181" s="26"/>
      <c r="C181" s="26"/>
      <c r="D181" s="26"/>
      <c r="E181">
        <v>0</v>
      </c>
      <c r="G181" s="1">
        <f>((Fórmulas!C$6/Fórmulas!D$6)/Fórmulas!E$6)*E181</f>
        <v>0</v>
      </c>
      <c r="H181" s="1">
        <f>G181*Fórmulas!B$9</f>
        <v>0</v>
      </c>
      <c r="I181" s="7">
        <f t="shared" si="4"/>
        <v>0</v>
      </c>
      <c r="K181" s="1">
        <v>1</v>
      </c>
      <c r="L181" s="1">
        <f>((Fórmulas!C$6/Fórmulas!D$6)/0.7)*K181</f>
        <v>2.4489795918367347</v>
      </c>
      <c r="M181" s="1">
        <f>L181*Fórmulas!D$6</f>
        <v>857.14285714285711</v>
      </c>
    </row>
    <row r="182" spans="1:13" x14ac:dyDescent="0.25">
      <c r="A182" s="2"/>
      <c r="B182" s="26"/>
      <c r="C182" s="26"/>
      <c r="D182" s="26"/>
      <c r="E182">
        <v>0</v>
      </c>
      <c r="G182" s="1">
        <f>((Fórmulas!C$6/Fórmulas!D$6)/Fórmulas!E$6)*E182</f>
        <v>0</v>
      </c>
      <c r="H182" s="1">
        <f>G182*Fórmulas!B$9</f>
        <v>0</v>
      </c>
      <c r="I182" s="7">
        <f t="shared" si="4"/>
        <v>0</v>
      </c>
      <c r="K182" s="1">
        <v>1</v>
      </c>
      <c r="L182" s="1">
        <f>((Fórmulas!C$6/Fórmulas!D$6)/0.7)*K182</f>
        <v>2.4489795918367347</v>
      </c>
      <c r="M182" s="1">
        <f>L182*Fórmulas!D$6</f>
        <v>857.14285714285711</v>
      </c>
    </row>
    <row r="183" spans="1:13" x14ac:dyDescent="0.25">
      <c r="A183" s="3"/>
      <c r="B183" s="26"/>
      <c r="C183" s="26"/>
      <c r="D183" s="26"/>
      <c r="E183">
        <v>0</v>
      </c>
      <c r="G183" s="1">
        <f>((Fórmulas!C$6/Fórmulas!D$6)/Fórmulas!E$6)*E183</f>
        <v>0</v>
      </c>
      <c r="H183" s="1">
        <f>G183*Fórmulas!B$9</f>
        <v>0</v>
      </c>
      <c r="I183" s="7">
        <f t="shared" si="4"/>
        <v>0</v>
      </c>
      <c r="K183" s="1">
        <v>1</v>
      </c>
      <c r="L183" s="1">
        <f>((Fórmulas!C$6/Fórmulas!D$6)/0.7)*K183</f>
        <v>2.4489795918367347</v>
      </c>
      <c r="M183" s="1">
        <f>L183*Fórmulas!D$6</f>
        <v>857.14285714285711</v>
      </c>
    </row>
    <row r="184" spans="1:13" x14ac:dyDescent="0.25">
      <c r="A184" s="3"/>
      <c r="B184" s="26"/>
      <c r="C184" s="26"/>
      <c r="D184" s="26"/>
      <c r="E184">
        <v>0</v>
      </c>
      <c r="G184" s="1">
        <f>((Fórmulas!C$6/Fórmulas!D$6)/Fórmulas!E$6)*E184</f>
        <v>0</v>
      </c>
      <c r="H184" s="1">
        <f>G184*Fórmulas!B$9</f>
        <v>0</v>
      </c>
      <c r="I184" s="7">
        <f t="shared" si="4"/>
        <v>0</v>
      </c>
      <c r="K184" s="1">
        <v>1</v>
      </c>
      <c r="L184" s="1">
        <f>((Fórmulas!C$6/Fórmulas!D$6)/0.7)*K184</f>
        <v>2.4489795918367347</v>
      </c>
      <c r="M184" s="1">
        <f>L184*Fórmulas!D$6</f>
        <v>857.14285714285711</v>
      </c>
    </row>
    <row r="185" spans="1:13" x14ac:dyDescent="0.25">
      <c r="A185" s="3"/>
      <c r="B185" s="25"/>
      <c r="C185" s="25"/>
      <c r="D185" s="25"/>
      <c r="E185">
        <v>0</v>
      </c>
      <c r="G185" s="1">
        <f>((Fórmulas!C$6/Fórmulas!D$6)/Fórmulas!E$6)*E185</f>
        <v>0</v>
      </c>
      <c r="H185" s="1">
        <f>G185*Fórmulas!B$9</f>
        <v>0</v>
      </c>
      <c r="I185" s="7">
        <f t="shared" si="4"/>
        <v>0</v>
      </c>
      <c r="K185" s="1">
        <v>1</v>
      </c>
      <c r="L185" s="1">
        <f>((Fórmulas!C$6/Fórmulas!D$6)/0.7)*K185</f>
        <v>2.4489795918367347</v>
      </c>
      <c r="M185" s="1">
        <f>L185*Fórmulas!D$6</f>
        <v>857.14285714285711</v>
      </c>
    </row>
    <row r="186" spans="1:13" x14ac:dyDescent="0.25">
      <c r="A186" s="3"/>
      <c r="B186" s="25"/>
      <c r="C186" s="25"/>
      <c r="D186" s="25"/>
      <c r="E186" s="3">
        <v>0</v>
      </c>
      <c r="G186" s="1">
        <f>((Fórmulas!C$6/Fórmulas!D$6)/Fórmulas!E$6)*E186</f>
        <v>0</v>
      </c>
      <c r="H186" s="1">
        <f>G186*Fórmulas!B$9</f>
        <v>0</v>
      </c>
      <c r="I186" s="7">
        <f t="shared" si="4"/>
        <v>0</v>
      </c>
      <c r="K186" s="1">
        <v>1</v>
      </c>
      <c r="L186" s="1">
        <f>((Fórmulas!C$6/Fórmulas!D$6)/0.7)*K186</f>
        <v>2.4489795918367347</v>
      </c>
      <c r="M186" s="1">
        <f>L186*Fórmulas!D$6</f>
        <v>857.14285714285711</v>
      </c>
    </row>
    <row r="187" spans="1:13" x14ac:dyDescent="0.25">
      <c r="A187" s="3"/>
      <c r="B187" s="25"/>
      <c r="C187" s="25"/>
      <c r="D187" s="25"/>
      <c r="E187" s="3">
        <v>0</v>
      </c>
      <c r="G187" s="1">
        <f>((Fórmulas!C$6/Fórmulas!D$6)/Fórmulas!E$6)*E187</f>
        <v>0</v>
      </c>
      <c r="H187" s="1">
        <f>G187*Fórmulas!B$9</f>
        <v>0</v>
      </c>
      <c r="I187" s="7">
        <f t="shared" si="4"/>
        <v>0</v>
      </c>
      <c r="K187" s="1">
        <v>1</v>
      </c>
      <c r="L187" s="1">
        <f>((Fórmulas!C$6/Fórmulas!D$6)/0.7)*K187</f>
        <v>2.4489795918367347</v>
      </c>
      <c r="M187" s="1">
        <f>L187*Fórmulas!D$6</f>
        <v>857.14285714285711</v>
      </c>
    </row>
    <row r="188" spans="1:13" x14ac:dyDescent="0.25">
      <c r="A188" s="3"/>
      <c r="B188" s="25"/>
      <c r="C188" s="25"/>
      <c r="D188" s="25"/>
      <c r="E188" s="3">
        <v>0</v>
      </c>
      <c r="G188" s="1">
        <f>((Fórmulas!C$6/Fórmulas!D$6)/Fórmulas!E$6)*E188</f>
        <v>0</v>
      </c>
      <c r="H188" s="1">
        <f>G188*Fórmulas!B$9</f>
        <v>0</v>
      </c>
      <c r="I188" s="7">
        <f t="shared" si="4"/>
        <v>0</v>
      </c>
      <c r="K188" s="1">
        <v>1</v>
      </c>
      <c r="L188" s="1">
        <f>((Fórmulas!C$6/Fórmulas!D$6)/0.7)*K188</f>
        <v>2.4489795918367347</v>
      </c>
      <c r="M188" s="1">
        <f>L188*Fórmulas!D$6</f>
        <v>857.14285714285711</v>
      </c>
    </row>
    <row r="189" spans="1:13" x14ac:dyDescent="0.25">
      <c r="A189" s="3"/>
      <c r="B189" s="25"/>
      <c r="C189" s="25"/>
      <c r="D189" s="25"/>
      <c r="E189" s="3">
        <v>0</v>
      </c>
      <c r="G189" s="1">
        <f>((Fórmulas!C$6/Fórmulas!D$6)/Fórmulas!E$6)*E189</f>
        <v>0</v>
      </c>
      <c r="H189" s="1">
        <f>G189*Fórmulas!B$9</f>
        <v>0</v>
      </c>
      <c r="I189" s="7">
        <f t="shared" si="4"/>
        <v>0</v>
      </c>
      <c r="K189" s="1">
        <v>1</v>
      </c>
      <c r="L189" s="1">
        <f>((Fórmulas!C$6/Fórmulas!D$6)/0.7)*K189</f>
        <v>2.4489795918367347</v>
      </c>
      <c r="M189" s="1">
        <f>L189*Fórmulas!D$6</f>
        <v>857.14285714285711</v>
      </c>
    </row>
    <row r="190" spans="1:13" x14ac:dyDescent="0.25">
      <c r="A190" s="3"/>
      <c r="B190" s="25"/>
      <c r="C190" s="25"/>
      <c r="D190" s="25"/>
      <c r="E190" s="3">
        <v>0</v>
      </c>
      <c r="G190" s="1">
        <f>((Fórmulas!C$6/Fórmulas!D$6)/Fórmulas!E$6)*E190</f>
        <v>0</v>
      </c>
      <c r="H190" s="1">
        <f>G190*Fórmulas!B$9</f>
        <v>0</v>
      </c>
      <c r="I190" s="7">
        <f t="shared" si="4"/>
        <v>0</v>
      </c>
      <c r="K190" s="1">
        <v>1</v>
      </c>
      <c r="L190" s="1">
        <f>((Fórmulas!C$6/Fórmulas!D$6)/0.7)*K190</f>
        <v>2.4489795918367347</v>
      </c>
      <c r="M190" s="1">
        <f>L190*Fórmulas!D$6</f>
        <v>857.14285714285711</v>
      </c>
    </row>
    <row r="191" spans="1:13" x14ac:dyDescent="0.25">
      <c r="A191" s="3"/>
      <c r="B191" s="25"/>
      <c r="C191" s="25"/>
      <c r="D191" s="25"/>
      <c r="E191" s="3">
        <v>0</v>
      </c>
      <c r="G191" s="1">
        <f>((Fórmulas!C$6/Fórmulas!D$6)/Fórmulas!E$6)*E191</f>
        <v>0</v>
      </c>
      <c r="H191" s="1">
        <f>G191*Fórmulas!B$9</f>
        <v>0</v>
      </c>
      <c r="I191" s="7">
        <f t="shared" si="4"/>
        <v>0</v>
      </c>
      <c r="K191" s="1">
        <v>1</v>
      </c>
      <c r="L191" s="1">
        <f>((Fórmulas!C$6/Fórmulas!D$6)/0.7)*K191</f>
        <v>2.4489795918367347</v>
      </c>
      <c r="M191" s="1">
        <f>L191*Fórmulas!D$6</f>
        <v>857.14285714285711</v>
      </c>
    </row>
    <row r="192" spans="1:13" x14ac:dyDescent="0.25">
      <c r="A192" s="3"/>
      <c r="B192" s="25"/>
      <c r="C192" s="25"/>
      <c r="D192" s="25"/>
      <c r="E192" s="3">
        <v>0</v>
      </c>
      <c r="G192" s="1">
        <f>((Fórmulas!C$6/Fórmulas!D$6)/Fórmulas!E$6)*E192</f>
        <v>0</v>
      </c>
      <c r="H192" s="1">
        <f>G192*Fórmulas!B$9</f>
        <v>0</v>
      </c>
      <c r="I192" s="7">
        <f t="shared" si="4"/>
        <v>0</v>
      </c>
      <c r="K192" s="1">
        <v>1</v>
      </c>
      <c r="L192" s="1">
        <f>((Fórmulas!C$6/Fórmulas!D$6)/0.7)*K192</f>
        <v>2.4489795918367347</v>
      </c>
      <c r="M192" s="1">
        <f>L192*Fórmulas!D$6</f>
        <v>857.14285714285711</v>
      </c>
    </row>
    <row r="193" spans="1:13" x14ac:dyDescent="0.25">
      <c r="B193" s="26"/>
      <c r="C193" s="26"/>
      <c r="D193" s="26"/>
      <c r="E193">
        <v>0</v>
      </c>
      <c r="G193" s="1">
        <f>((Fórmulas!C$6/Fórmulas!D$6)/Fórmulas!E$6)*E193</f>
        <v>0</v>
      </c>
      <c r="H193" s="1">
        <f>G193*Fórmulas!B$9</f>
        <v>0</v>
      </c>
      <c r="I193" s="7">
        <f t="shared" si="4"/>
        <v>0</v>
      </c>
      <c r="K193" s="1">
        <v>1</v>
      </c>
      <c r="L193" s="1">
        <f>((Fórmulas!C$6/Fórmulas!D$6)/0.7)*K193</f>
        <v>2.4489795918367347</v>
      </c>
      <c r="M193" s="1">
        <f>L193*Fórmulas!D$6</f>
        <v>857.14285714285711</v>
      </c>
    </row>
    <row r="194" spans="1:13" x14ac:dyDescent="0.25">
      <c r="A194" s="3"/>
      <c r="B194" s="25"/>
      <c r="C194" s="25"/>
      <c r="D194" s="25"/>
      <c r="E194">
        <v>0</v>
      </c>
      <c r="G194" s="1">
        <f>((Fórmulas!C$6/Fórmulas!D$6)/Fórmulas!E$6)*E194</f>
        <v>0</v>
      </c>
      <c r="H194" s="1">
        <f>G194*Fórmulas!B$9</f>
        <v>0</v>
      </c>
      <c r="I194" s="7">
        <f t="shared" si="4"/>
        <v>0</v>
      </c>
      <c r="K194" s="1">
        <v>1</v>
      </c>
      <c r="L194" s="1">
        <f>((Fórmulas!C$6/Fórmulas!D$6)/0.7)*K194</f>
        <v>2.4489795918367347</v>
      </c>
      <c r="M194" s="1">
        <f>L194*Fórmulas!D$6</f>
        <v>857.14285714285711</v>
      </c>
    </row>
    <row r="195" spans="1:13" x14ac:dyDescent="0.25">
      <c r="A195" s="3"/>
      <c r="B195" s="25"/>
      <c r="C195" s="25"/>
      <c r="D195" s="25"/>
      <c r="E195">
        <v>0</v>
      </c>
      <c r="G195" s="1">
        <f>((Fórmulas!C$6/Fórmulas!D$6)/Fórmulas!E$6)*E195</f>
        <v>0</v>
      </c>
      <c r="H195" s="1">
        <f>G195*Fórmulas!B$9</f>
        <v>0</v>
      </c>
      <c r="I195" s="7">
        <f t="shared" si="4"/>
        <v>0</v>
      </c>
      <c r="K195" s="1">
        <v>1</v>
      </c>
      <c r="L195" s="1">
        <f>((Fórmulas!C$6/Fórmulas!D$6)/0.7)*K195</f>
        <v>2.4489795918367347</v>
      </c>
      <c r="M195" s="1">
        <f>L195*Fórmulas!D$6</f>
        <v>857.14285714285711</v>
      </c>
    </row>
    <row r="196" spans="1:13" x14ac:dyDescent="0.25">
      <c r="A196" s="3"/>
      <c r="B196" s="25"/>
      <c r="C196" s="25"/>
      <c r="D196" s="25"/>
      <c r="E196">
        <v>0</v>
      </c>
      <c r="G196" s="1">
        <f>((Fórmulas!C$6/Fórmulas!D$6)/Fórmulas!E$6)*E196</f>
        <v>0</v>
      </c>
      <c r="H196" s="1">
        <f>G196*Fórmulas!B$9</f>
        <v>0</v>
      </c>
      <c r="I196" s="7">
        <f t="shared" si="4"/>
        <v>0</v>
      </c>
      <c r="K196" s="1">
        <v>1</v>
      </c>
      <c r="L196" s="1">
        <f>((Fórmulas!C$6/Fórmulas!D$6)/0.7)*K196</f>
        <v>2.4489795918367347</v>
      </c>
      <c r="M196" s="1">
        <f>L196*Fórmulas!D$6</f>
        <v>857.14285714285711</v>
      </c>
    </row>
    <row r="197" spans="1:13" x14ac:dyDescent="0.25">
      <c r="A197" s="3"/>
      <c r="B197" s="25"/>
      <c r="C197" s="25"/>
      <c r="D197" s="25"/>
      <c r="E197">
        <v>0</v>
      </c>
      <c r="G197" s="1">
        <f>((Fórmulas!C$6/Fórmulas!D$6)/Fórmulas!E$6)*E197</f>
        <v>0</v>
      </c>
      <c r="H197" s="1">
        <f>G197*Fórmulas!B$9</f>
        <v>0</v>
      </c>
      <c r="I197" s="7">
        <f t="shared" si="4"/>
        <v>0</v>
      </c>
      <c r="K197" s="1">
        <v>1</v>
      </c>
      <c r="L197" s="1">
        <f>((Fórmulas!C$6/Fórmulas!D$6)/0.7)*K197</f>
        <v>2.4489795918367347</v>
      </c>
      <c r="M197" s="1">
        <f>L197*Fórmulas!D$6</f>
        <v>857.14285714285711</v>
      </c>
    </row>
    <row r="198" spans="1:13" x14ac:dyDescent="0.25">
      <c r="A198" s="3"/>
      <c r="B198" s="25"/>
      <c r="C198" s="25"/>
      <c r="D198" s="25"/>
      <c r="E198">
        <v>0</v>
      </c>
      <c r="G198" s="1">
        <f>((Fórmulas!C$6/Fórmulas!D$6)/Fórmulas!E$6)*E198</f>
        <v>0</v>
      </c>
      <c r="H198" s="1">
        <f>G198*Fórmulas!B$9</f>
        <v>0</v>
      </c>
      <c r="I198" s="7">
        <f t="shared" si="4"/>
        <v>0</v>
      </c>
      <c r="K198" s="1">
        <v>1</v>
      </c>
      <c r="L198" s="1">
        <f>((Fórmulas!C$6/Fórmulas!D$6)/0.7)*K198</f>
        <v>2.4489795918367347</v>
      </c>
      <c r="M198" s="1">
        <f>L198*Fórmulas!D$6</f>
        <v>857.14285714285711</v>
      </c>
    </row>
    <row r="199" spans="1:13" x14ac:dyDescent="0.25">
      <c r="A199" s="3"/>
      <c r="B199" s="31"/>
      <c r="C199" s="32"/>
      <c r="D199" s="32"/>
      <c r="E199">
        <v>0</v>
      </c>
      <c r="G199" s="1">
        <f>((Fórmulas!C$6/Fórmulas!D$6)/Fórmulas!E$6)*E199</f>
        <v>0</v>
      </c>
      <c r="H199" s="1">
        <f>G199*Fórmulas!B$9</f>
        <v>0</v>
      </c>
      <c r="I199" s="7">
        <f t="shared" si="4"/>
        <v>0</v>
      </c>
      <c r="K199" s="1">
        <v>1</v>
      </c>
      <c r="L199" s="1">
        <f>((Fórmulas!C$6/Fórmulas!D$6)/0.7)*K199</f>
        <v>2.4489795918367347</v>
      </c>
      <c r="M199" s="1">
        <f>L199*Fórmulas!D$6</f>
        <v>857.14285714285711</v>
      </c>
    </row>
    <row r="200" spans="1:13" x14ac:dyDescent="0.25">
      <c r="A200" s="3"/>
      <c r="B200" s="31"/>
      <c r="C200" s="25"/>
      <c r="D200" s="25"/>
      <c r="E200">
        <v>0</v>
      </c>
      <c r="G200" s="1">
        <f>((Fórmulas!C$6/Fórmulas!D$6)/Fórmulas!E$6)*E200</f>
        <v>0</v>
      </c>
      <c r="H200" s="1">
        <f>G200*Fórmulas!B$9</f>
        <v>0</v>
      </c>
      <c r="I200" s="7">
        <f t="shared" si="4"/>
        <v>0</v>
      </c>
      <c r="K200" s="1">
        <v>1</v>
      </c>
      <c r="L200" s="1">
        <f>((Fórmulas!C$6/Fórmulas!D$6)/0.7)*K200</f>
        <v>2.4489795918367347</v>
      </c>
      <c r="M200" s="1">
        <f>L200*Fórmulas!D$6</f>
        <v>857.14285714285711</v>
      </c>
    </row>
    <row r="201" spans="1:13" x14ac:dyDescent="0.25">
      <c r="A201" s="3"/>
      <c r="B201" s="33"/>
      <c r="C201" s="33"/>
      <c r="D201" s="33"/>
      <c r="E201">
        <v>0</v>
      </c>
      <c r="G201" s="1">
        <f>((Fórmulas!C$6/Fórmulas!D$6)/Fórmulas!E$6)*E201</f>
        <v>0</v>
      </c>
      <c r="H201" s="1">
        <f>G201*Fórmulas!B$9</f>
        <v>0</v>
      </c>
      <c r="I201" s="7">
        <f t="shared" si="4"/>
        <v>0</v>
      </c>
      <c r="K201" s="1">
        <v>1</v>
      </c>
      <c r="L201" s="1">
        <f>((Fórmulas!C$6/Fórmulas!D$6)/0.7)*K201</f>
        <v>2.4489795918367347</v>
      </c>
      <c r="M201" s="1">
        <f>L201*Fórmulas!D$6</f>
        <v>857.14285714285711</v>
      </c>
    </row>
    <row r="202" spans="1:13" x14ac:dyDescent="0.25">
      <c r="A202" s="3"/>
      <c r="B202" s="25"/>
      <c r="C202" s="25"/>
      <c r="D202" s="25"/>
      <c r="E202">
        <v>0</v>
      </c>
      <c r="G202" s="1">
        <f>((Fórmulas!C$6/Fórmulas!D$6)/Fórmulas!E$6)*E202</f>
        <v>0</v>
      </c>
      <c r="H202" s="1">
        <f>G202*Fórmulas!B$9</f>
        <v>0</v>
      </c>
      <c r="I202" s="7">
        <f t="shared" si="4"/>
        <v>0</v>
      </c>
      <c r="K202" s="1">
        <v>1</v>
      </c>
      <c r="L202" s="1">
        <f>((Fórmulas!C$6/Fórmulas!D$6)/0.7)*K202</f>
        <v>2.4489795918367347</v>
      </c>
      <c r="M202" s="1">
        <f>L202*Fórmulas!D$6</f>
        <v>857.14285714285711</v>
      </c>
    </row>
    <row r="203" spans="1:13" x14ac:dyDescent="0.25">
      <c r="A203" s="3"/>
      <c r="B203" s="25"/>
      <c r="C203" s="25"/>
      <c r="D203" s="25"/>
      <c r="E203">
        <v>0</v>
      </c>
      <c r="G203" s="1">
        <f>((Fórmulas!C$6/Fórmulas!D$6)/Fórmulas!E$6)*E203</f>
        <v>0</v>
      </c>
      <c r="H203" s="1">
        <f>G203*Fórmulas!B$9</f>
        <v>0</v>
      </c>
      <c r="I203" s="7">
        <f t="shared" si="4"/>
        <v>0</v>
      </c>
      <c r="K203" s="1">
        <v>1</v>
      </c>
      <c r="L203" s="1">
        <f>((Fórmulas!C$6/Fórmulas!D$6)/0.7)*K203</f>
        <v>2.4489795918367347</v>
      </c>
      <c r="M203" s="1">
        <f>L203*Fórmulas!D$6</f>
        <v>857.14285714285711</v>
      </c>
    </row>
    <row r="204" spans="1:13" x14ac:dyDescent="0.25">
      <c r="A204" s="3"/>
      <c r="B204" s="25"/>
      <c r="C204" s="25"/>
      <c r="D204" s="25"/>
      <c r="E204">
        <v>0</v>
      </c>
      <c r="G204" s="1">
        <f>((Fórmulas!C$6/Fórmulas!D$6)/Fórmulas!E$6)*E204</f>
        <v>0</v>
      </c>
      <c r="H204" s="1">
        <f>G204*Fórmulas!B$9</f>
        <v>0</v>
      </c>
      <c r="I204" s="7">
        <f t="shared" si="4"/>
        <v>0</v>
      </c>
      <c r="K204" s="1">
        <v>1</v>
      </c>
      <c r="L204" s="1">
        <f>((Fórmulas!C$6/Fórmulas!D$6)/0.7)*K204</f>
        <v>2.4489795918367347</v>
      </c>
      <c r="M204" s="1">
        <f>L204*Fórmulas!D$6</f>
        <v>857.14285714285711</v>
      </c>
    </row>
    <row r="205" spans="1:13" x14ac:dyDescent="0.25">
      <c r="A205" s="3"/>
      <c r="B205" s="25"/>
      <c r="C205" s="25"/>
      <c r="D205" s="25"/>
      <c r="E205">
        <v>0</v>
      </c>
      <c r="G205" s="1">
        <f>((Fórmulas!C$6/Fórmulas!D$6)/Fórmulas!E$6)*E205</f>
        <v>0</v>
      </c>
      <c r="H205" s="1">
        <f>G205*Fórmulas!B$9</f>
        <v>0</v>
      </c>
      <c r="I205" s="7">
        <f t="shared" si="4"/>
        <v>0</v>
      </c>
      <c r="K205" s="1">
        <v>1</v>
      </c>
      <c r="L205" s="1">
        <f>((Fórmulas!C$6/Fórmulas!D$6)/0.7)*K205</f>
        <v>2.4489795918367347</v>
      </c>
      <c r="M205" s="1">
        <f>L205*Fórmulas!D$6</f>
        <v>857.14285714285711</v>
      </c>
    </row>
    <row r="206" spans="1:13" x14ac:dyDescent="0.25">
      <c r="A206" s="3"/>
      <c r="B206" s="25"/>
      <c r="C206" s="25"/>
      <c r="D206" s="25"/>
      <c r="E206">
        <v>0</v>
      </c>
      <c r="G206" s="1">
        <f>((Fórmulas!C$6/Fórmulas!D$6)/Fórmulas!E$6)*E206</f>
        <v>0</v>
      </c>
      <c r="H206" s="1">
        <f>G206*Fórmulas!B$9</f>
        <v>0</v>
      </c>
      <c r="I206" s="7">
        <f t="shared" si="4"/>
        <v>0</v>
      </c>
      <c r="K206" s="1">
        <v>1</v>
      </c>
      <c r="L206" s="1">
        <f>((Fórmulas!C$6/Fórmulas!D$6)/0.7)*K206</f>
        <v>2.4489795918367347</v>
      </c>
      <c r="M206" s="1">
        <f>L206*Fórmulas!D$6</f>
        <v>857.14285714285711</v>
      </c>
    </row>
    <row r="207" spans="1:13" x14ac:dyDescent="0.25">
      <c r="A207" s="3"/>
      <c r="B207" s="25"/>
      <c r="C207" s="25"/>
      <c r="D207" s="25"/>
      <c r="E207">
        <v>0</v>
      </c>
      <c r="G207" s="1">
        <f>((Fórmulas!C$6/Fórmulas!D$6)/Fórmulas!E$6)*E207</f>
        <v>0</v>
      </c>
      <c r="H207" s="1">
        <f>G207*Fórmulas!B$9</f>
        <v>0</v>
      </c>
      <c r="I207" s="7">
        <f t="shared" si="4"/>
        <v>0</v>
      </c>
      <c r="K207" s="1">
        <v>1</v>
      </c>
      <c r="L207" s="1">
        <f>((Fórmulas!C$6/Fórmulas!D$6)/0.7)*K207</f>
        <v>2.4489795918367347</v>
      </c>
      <c r="M207" s="1">
        <f>L207*Fórmulas!D$6</f>
        <v>857.14285714285711</v>
      </c>
    </row>
    <row r="208" spans="1:13" x14ac:dyDescent="0.25">
      <c r="A208" s="3"/>
      <c r="B208" s="25"/>
      <c r="C208" s="25"/>
      <c r="D208" s="25"/>
      <c r="E208">
        <v>0</v>
      </c>
      <c r="G208" s="1">
        <f>((Fórmulas!C$6/Fórmulas!D$6)/Fórmulas!E$6)*E208</f>
        <v>0</v>
      </c>
      <c r="H208" s="1">
        <f>G208*Fórmulas!B$9</f>
        <v>0</v>
      </c>
      <c r="I208" s="7">
        <f t="shared" si="4"/>
        <v>0</v>
      </c>
      <c r="K208" s="1">
        <v>1</v>
      </c>
      <c r="L208" s="1">
        <f>((Fórmulas!C$6/Fórmulas!D$6)/0.7)*K208</f>
        <v>2.4489795918367347</v>
      </c>
      <c r="M208" s="1">
        <f>L208*Fórmulas!D$6</f>
        <v>857.14285714285711</v>
      </c>
    </row>
    <row r="209" spans="1:13" x14ac:dyDescent="0.25">
      <c r="A209" s="3"/>
      <c r="B209" s="25"/>
      <c r="C209" s="25"/>
      <c r="D209" s="25"/>
      <c r="E209">
        <v>0</v>
      </c>
      <c r="G209" s="1">
        <f>((Fórmulas!C$6/Fórmulas!D$6)/Fórmulas!E$6)*E209</f>
        <v>0</v>
      </c>
      <c r="H209" s="1">
        <f>G209*Fórmulas!B$9</f>
        <v>0</v>
      </c>
      <c r="I209" s="7">
        <f t="shared" ref="I209:I272" si="5">E209/0.6</f>
        <v>0</v>
      </c>
      <c r="K209" s="1">
        <v>1</v>
      </c>
      <c r="L209" s="1">
        <f>((Fórmulas!C$6/Fórmulas!D$6)/0.7)*K209</f>
        <v>2.4489795918367347</v>
      </c>
      <c r="M209" s="1">
        <f>L209*Fórmulas!D$6</f>
        <v>857.14285714285711</v>
      </c>
    </row>
    <row r="210" spans="1:13" s="3" customFormat="1" x14ac:dyDescent="0.25">
      <c r="B210" s="25"/>
      <c r="C210" s="25"/>
      <c r="D210" s="25"/>
      <c r="E210" s="3">
        <v>0</v>
      </c>
      <c r="F210" s="4"/>
      <c r="G210" s="1">
        <f>((Fórmulas!C$6/Fórmulas!D$6)/Fórmulas!E$6)*E210</f>
        <v>0</v>
      </c>
      <c r="H210" s="1">
        <f>G210*Fórmulas!B$9</f>
        <v>0</v>
      </c>
      <c r="I210" s="7">
        <f t="shared" si="5"/>
        <v>0</v>
      </c>
      <c r="K210" s="1">
        <v>1</v>
      </c>
      <c r="L210" s="1">
        <f>((Fórmulas!C$6/Fórmulas!D$6)/0.7)*K210</f>
        <v>2.4489795918367347</v>
      </c>
      <c r="M210" s="1">
        <f>L210*Fórmulas!D$6</f>
        <v>857.14285714285711</v>
      </c>
    </row>
    <row r="211" spans="1:13" x14ac:dyDescent="0.25">
      <c r="A211" s="3"/>
      <c r="B211" s="25"/>
      <c r="C211" s="25"/>
      <c r="D211" s="25"/>
      <c r="E211">
        <v>0</v>
      </c>
      <c r="G211" s="1">
        <f>((Fórmulas!C$6/Fórmulas!D$6)/Fórmulas!E$6)*E211</f>
        <v>0</v>
      </c>
      <c r="H211" s="1">
        <f>G211*Fórmulas!B$9</f>
        <v>0</v>
      </c>
      <c r="I211" s="7">
        <f t="shared" si="5"/>
        <v>0</v>
      </c>
      <c r="K211" s="1">
        <v>1</v>
      </c>
      <c r="L211" s="1">
        <f>((Fórmulas!C$6/Fórmulas!D$6)/0.7)*K211</f>
        <v>2.4489795918367347</v>
      </c>
      <c r="M211" s="1">
        <f>L211*Fórmulas!D$6</f>
        <v>857.14285714285711</v>
      </c>
    </row>
    <row r="212" spans="1:13" x14ac:dyDescent="0.25">
      <c r="A212" s="3"/>
      <c r="B212" s="25"/>
      <c r="C212" s="25"/>
      <c r="D212" s="25"/>
      <c r="E212">
        <v>0</v>
      </c>
      <c r="G212" s="1">
        <f>((Fórmulas!C$6/Fórmulas!D$6)/Fórmulas!E$6)*E212</f>
        <v>0</v>
      </c>
      <c r="H212" s="1">
        <f>G212*Fórmulas!B$9</f>
        <v>0</v>
      </c>
      <c r="I212" s="7">
        <f t="shared" si="5"/>
        <v>0</v>
      </c>
      <c r="K212" s="1">
        <v>1</v>
      </c>
      <c r="L212" s="1">
        <f>((Fórmulas!C$6/Fórmulas!D$6)/0.7)*K212</f>
        <v>2.4489795918367347</v>
      </c>
      <c r="M212" s="1">
        <f>L212*Fórmulas!D$6</f>
        <v>857.14285714285711</v>
      </c>
    </row>
    <row r="213" spans="1:13" x14ac:dyDescent="0.25">
      <c r="A213" s="3"/>
      <c r="B213" s="25"/>
      <c r="C213" s="25"/>
      <c r="D213" s="25"/>
      <c r="E213">
        <v>0</v>
      </c>
      <c r="G213" s="1">
        <f>((Fórmulas!C$6/Fórmulas!D$6)/Fórmulas!E$6)*E213</f>
        <v>0</v>
      </c>
      <c r="H213" s="1">
        <f>G213*Fórmulas!B$9</f>
        <v>0</v>
      </c>
      <c r="I213" s="7">
        <f t="shared" si="5"/>
        <v>0</v>
      </c>
      <c r="K213" s="1">
        <v>1</v>
      </c>
      <c r="L213" s="1">
        <f>((Fórmulas!C$6/Fórmulas!D$6)/0.7)*K213</f>
        <v>2.4489795918367347</v>
      </c>
      <c r="M213" s="1">
        <f>L213*Fórmulas!D$6</f>
        <v>857.14285714285711</v>
      </c>
    </row>
    <row r="214" spans="1:13" x14ac:dyDescent="0.25">
      <c r="A214" s="3"/>
      <c r="B214" s="25"/>
      <c r="C214" s="25"/>
      <c r="D214" s="25"/>
      <c r="E214">
        <v>0</v>
      </c>
      <c r="G214" s="1">
        <f>((Fórmulas!C$6/Fórmulas!D$6)/Fórmulas!E$6)*E214</f>
        <v>0</v>
      </c>
      <c r="H214" s="1">
        <f>G214*Fórmulas!B$9</f>
        <v>0</v>
      </c>
      <c r="I214" s="7">
        <f t="shared" si="5"/>
        <v>0</v>
      </c>
      <c r="K214" s="1">
        <v>1</v>
      </c>
      <c r="L214" s="1">
        <f>((Fórmulas!C$6/Fórmulas!D$6)/0.7)*K214</f>
        <v>2.4489795918367347</v>
      </c>
      <c r="M214" s="1">
        <f>L214*Fórmulas!D$6</f>
        <v>857.14285714285711</v>
      </c>
    </row>
    <row r="215" spans="1:13" x14ac:dyDescent="0.25">
      <c r="A215" s="3"/>
      <c r="B215" s="25"/>
      <c r="C215" s="25"/>
      <c r="D215" s="25"/>
      <c r="E215">
        <v>0</v>
      </c>
      <c r="G215" s="1">
        <f>((Fórmulas!C$6/Fórmulas!D$6)/Fórmulas!E$6)*E215</f>
        <v>0</v>
      </c>
      <c r="H215" s="1">
        <f>G215*Fórmulas!B$9</f>
        <v>0</v>
      </c>
      <c r="I215" s="7">
        <f t="shared" si="5"/>
        <v>0</v>
      </c>
      <c r="K215" s="1">
        <v>1</v>
      </c>
      <c r="L215" s="1">
        <f>((Fórmulas!C$6/Fórmulas!D$6)/0.7)*K215</f>
        <v>2.4489795918367347</v>
      </c>
      <c r="M215" s="1">
        <f>L215*Fórmulas!D$6</f>
        <v>857.14285714285711</v>
      </c>
    </row>
    <row r="216" spans="1:13" x14ac:dyDescent="0.25">
      <c r="B216" s="25"/>
      <c r="C216" s="25"/>
      <c r="D216" s="25"/>
      <c r="E216">
        <v>0</v>
      </c>
      <c r="G216" s="1">
        <f>((Fórmulas!C$6/Fórmulas!D$6)/Fórmulas!E$6)*E216</f>
        <v>0</v>
      </c>
      <c r="H216" s="1">
        <f>G216*Fórmulas!B$9</f>
        <v>0</v>
      </c>
      <c r="I216" s="7">
        <f t="shared" si="5"/>
        <v>0</v>
      </c>
      <c r="K216" s="1">
        <v>1</v>
      </c>
      <c r="L216" s="1">
        <f>((Fórmulas!C$6/Fórmulas!D$6)/0.7)*K216</f>
        <v>2.4489795918367347</v>
      </c>
      <c r="M216" s="1">
        <f>L216*Fórmulas!D$6</f>
        <v>857.14285714285711</v>
      </c>
    </row>
    <row r="217" spans="1:13" s="3" customFormat="1" x14ac:dyDescent="0.25">
      <c r="B217" s="25"/>
      <c r="C217" s="25"/>
      <c r="D217" s="25"/>
      <c r="E217" s="4">
        <v>0</v>
      </c>
      <c r="F217" s="4"/>
      <c r="G217" s="1">
        <f>((Fórmulas!C$6/Fórmulas!D$6)/Fórmulas!E$6)*E217</f>
        <v>0</v>
      </c>
      <c r="H217" s="1">
        <f>G217*Fórmulas!B$9</f>
        <v>0</v>
      </c>
      <c r="I217" s="7">
        <f t="shared" si="5"/>
        <v>0</v>
      </c>
      <c r="J217" s="4"/>
      <c r="K217" s="1">
        <v>1</v>
      </c>
      <c r="L217" s="1">
        <f>((Fórmulas!C$6/Fórmulas!D$6)/0.7)*K217</f>
        <v>2.4489795918367347</v>
      </c>
      <c r="M217" s="1">
        <f>L217*Fórmulas!D$6</f>
        <v>857.14285714285711</v>
      </c>
    </row>
    <row r="218" spans="1:13" s="3" customFormat="1" x14ac:dyDescent="0.25">
      <c r="A218" s="4"/>
      <c r="B218" s="25"/>
      <c r="C218" s="25"/>
      <c r="D218" s="25"/>
      <c r="E218" s="4">
        <v>0</v>
      </c>
      <c r="F218" s="4"/>
      <c r="G218" s="1">
        <f>((Fórmulas!C$6/Fórmulas!D$6)/Fórmulas!E$6)*E218</f>
        <v>0</v>
      </c>
      <c r="H218" s="1">
        <f>G218*Fórmulas!B$9</f>
        <v>0</v>
      </c>
      <c r="I218" s="7">
        <f t="shared" si="5"/>
        <v>0</v>
      </c>
      <c r="J218" s="4"/>
      <c r="K218" s="1">
        <v>1</v>
      </c>
      <c r="L218" s="1">
        <f>((Fórmulas!C$6/Fórmulas!D$6)/0.7)*K218</f>
        <v>2.4489795918367347</v>
      </c>
      <c r="M218" s="1">
        <f>L218*Fórmulas!D$6</f>
        <v>857.14285714285711</v>
      </c>
    </row>
    <row r="219" spans="1:13" s="3" customFormat="1" x14ac:dyDescent="0.25">
      <c r="A219" s="4"/>
      <c r="B219" s="25"/>
      <c r="C219" s="25"/>
      <c r="D219" s="25"/>
      <c r="E219" s="4">
        <v>0</v>
      </c>
      <c r="F219" s="4"/>
      <c r="G219" s="1">
        <f>((Fórmulas!C$6/Fórmulas!D$6)/Fórmulas!E$6)*E219</f>
        <v>0</v>
      </c>
      <c r="H219" s="1">
        <f>G219*Fórmulas!B$9</f>
        <v>0</v>
      </c>
      <c r="I219" s="7">
        <f t="shared" si="5"/>
        <v>0</v>
      </c>
      <c r="J219" s="4"/>
      <c r="K219" s="1">
        <v>1</v>
      </c>
      <c r="L219" s="1">
        <f>((Fórmulas!C$6/Fórmulas!D$6)/0.7)*K219</f>
        <v>2.4489795918367347</v>
      </c>
      <c r="M219" s="1">
        <f>L219*Fórmulas!D$6</f>
        <v>857.14285714285711</v>
      </c>
    </row>
    <row r="220" spans="1:13" s="3" customFormat="1" x14ac:dyDescent="0.25">
      <c r="A220" s="4"/>
      <c r="B220" s="25"/>
      <c r="C220" s="25"/>
      <c r="D220" s="25"/>
      <c r="E220" s="4">
        <v>0</v>
      </c>
      <c r="F220" s="4"/>
      <c r="G220" s="1">
        <f>((Fórmulas!C$6/Fórmulas!D$6)/Fórmulas!E$6)*E220</f>
        <v>0</v>
      </c>
      <c r="H220" s="1">
        <f>G220*Fórmulas!B$9</f>
        <v>0</v>
      </c>
      <c r="I220" s="7">
        <f t="shared" si="5"/>
        <v>0</v>
      </c>
      <c r="J220" s="4"/>
      <c r="K220" s="1">
        <v>1</v>
      </c>
      <c r="L220" s="1">
        <f>((Fórmulas!C$6/Fórmulas!D$6)/0.7)*K220</f>
        <v>2.4489795918367347</v>
      </c>
      <c r="M220" s="1">
        <f>L220*Fórmulas!D$6</f>
        <v>857.14285714285711</v>
      </c>
    </row>
    <row r="221" spans="1:13" s="3" customFormat="1" x14ac:dyDescent="0.25">
      <c r="A221" s="4"/>
      <c r="B221" s="25"/>
      <c r="C221" s="25"/>
      <c r="D221" s="25"/>
      <c r="E221" s="4">
        <v>0</v>
      </c>
      <c r="F221" s="4"/>
      <c r="G221" s="1">
        <f>((Fórmulas!C$6/Fórmulas!D$6)/Fórmulas!E$6)*E221</f>
        <v>0</v>
      </c>
      <c r="H221" s="1">
        <f>G221*Fórmulas!B$9</f>
        <v>0</v>
      </c>
      <c r="I221" s="7">
        <f t="shared" si="5"/>
        <v>0</v>
      </c>
      <c r="J221" s="4"/>
      <c r="K221" s="1">
        <v>1</v>
      </c>
      <c r="L221" s="1">
        <f>((Fórmulas!C$6/Fórmulas!D$6)/0.7)*K221</f>
        <v>2.4489795918367347</v>
      </c>
      <c r="M221" s="1">
        <f>L221*Fórmulas!D$6</f>
        <v>857.14285714285711</v>
      </c>
    </row>
    <row r="222" spans="1:13" s="3" customFormat="1" x14ac:dyDescent="0.25">
      <c r="B222" s="25"/>
      <c r="C222" s="25"/>
      <c r="D222" s="25"/>
      <c r="E222" s="4">
        <v>0</v>
      </c>
      <c r="F222" s="4"/>
      <c r="G222" s="1">
        <f>((Fórmulas!C$6/Fórmulas!D$6)/Fórmulas!E$6)*E222</f>
        <v>0</v>
      </c>
      <c r="H222" s="1">
        <f>G222*Fórmulas!B$9</f>
        <v>0</v>
      </c>
      <c r="I222" s="7">
        <f t="shared" si="5"/>
        <v>0</v>
      </c>
      <c r="J222" s="4"/>
      <c r="K222" s="1">
        <v>1</v>
      </c>
      <c r="L222" s="1">
        <f>((Fórmulas!C$6/Fórmulas!D$6)/0.7)*K222</f>
        <v>2.4489795918367347</v>
      </c>
      <c r="M222" s="1">
        <f>L222*Fórmulas!D$6</f>
        <v>857.14285714285711</v>
      </c>
    </row>
    <row r="223" spans="1:13" s="3" customFormat="1" x14ac:dyDescent="0.25">
      <c r="B223" s="25"/>
      <c r="C223" s="25"/>
      <c r="D223" s="25"/>
      <c r="E223" s="4">
        <v>0</v>
      </c>
      <c r="F223" s="4"/>
      <c r="G223" s="1">
        <f>((Fórmulas!C$6/Fórmulas!D$6)/Fórmulas!E$6)*E223</f>
        <v>0</v>
      </c>
      <c r="H223" s="1">
        <f>G223*Fórmulas!B$9</f>
        <v>0</v>
      </c>
      <c r="I223" s="7">
        <f t="shared" si="5"/>
        <v>0</v>
      </c>
      <c r="J223" s="4"/>
      <c r="K223" s="1">
        <v>1</v>
      </c>
      <c r="L223" s="1">
        <f>((Fórmulas!C$6/Fórmulas!D$6)/0.7)*K223</f>
        <v>2.4489795918367347</v>
      </c>
      <c r="M223" s="1">
        <f>L223*Fórmulas!D$6</f>
        <v>857.14285714285711</v>
      </c>
    </row>
    <row r="224" spans="1:13" s="3" customFormat="1" x14ac:dyDescent="0.25">
      <c r="A224" s="3" t="s">
        <v>413</v>
      </c>
      <c r="B224" s="25" t="s">
        <v>414</v>
      </c>
      <c r="C224" s="25"/>
      <c r="D224" s="25"/>
      <c r="E224" s="4">
        <v>17.899999999999999</v>
      </c>
      <c r="F224" s="4"/>
      <c r="G224" s="1">
        <f>((Fórmulas!C$6/Fórmulas!D$6)/Fórmulas!E$6)*E224</f>
        <v>43.836734693877546</v>
      </c>
      <c r="H224" s="1">
        <f>G224*Fórmulas!B$9</f>
        <v>15342.857142857141</v>
      </c>
      <c r="I224" s="7">
        <f t="shared" si="5"/>
        <v>29.833333333333332</v>
      </c>
      <c r="J224" s="4"/>
      <c r="K224" s="1">
        <v>1</v>
      </c>
      <c r="L224" s="1">
        <f>((Fórmulas!C$6/Fórmulas!D$6)/0.7)*K224</f>
        <v>2.4489795918367347</v>
      </c>
      <c r="M224" s="1">
        <f>L224*Fórmulas!D$6</f>
        <v>857.14285714285711</v>
      </c>
    </row>
    <row r="225" spans="1:13" s="3" customFormat="1" x14ac:dyDescent="0.25">
      <c r="A225" s="4" t="s">
        <v>413</v>
      </c>
      <c r="B225" s="25" t="s">
        <v>417</v>
      </c>
      <c r="C225" s="25"/>
      <c r="D225" s="25"/>
      <c r="E225" s="4">
        <v>17.899999999999999</v>
      </c>
      <c r="F225" s="4"/>
      <c r="G225" s="1">
        <f>((Fórmulas!C$6/Fórmulas!D$6)/Fórmulas!E$6)*E225</f>
        <v>43.836734693877546</v>
      </c>
      <c r="H225" s="1">
        <f>G225*Fórmulas!B$9</f>
        <v>15342.857142857141</v>
      </c>
      <c r="I225" s="7">
        <f t="shared" si="5"/>
        <v>29.833333333333332</v>
      </c>
      <c r="J225" s="4"/>
      <c r="K225" s="1">
        <v>1</v>
      </c>
      <c r="L225" s="1">
        <f>((Fórmulas!C$6/Fórmulas!D$6)/0.7)*K225</f>
        <v>2.4489795918367347</v>
      </c>
      <c r="M225" s="1">
        <f>L225*Fórmulas!D$6</f>
        <v>857.14285714285711</v>
      </c>
    </row>
    <row r="226" spans="1:13" s="3" customFormat="1" x14ac:dyDescent="0.25">
      <c r="A226" s="4" t="s">
        <v>413</v>
      </c>
      <c r="B226" s="25" t="s">
        <v>423</v>
      </c>
      <c r="C226" s="25"/>
      <c r="D226" s="25"/>
      <c r="E226" s="4">
        <v>17.899999999999999</v>
      </c>
      <c r="F226" s="4"/>
      <c r="G226" s="1">
        <f>((Fórmulas!C$6/Fórmulas!D$6)/Fórmulas!E$6)*E226</f>
        <v>43.836734693877546</v>
      </c>
      <c r="H226" s="1">
        <f>G226*Fórmulas!B$9</f>
        <v>15342.857142857141</v>
      </c>
      <c r="I226" s="7">
        <f t="shared" si="5"/>
        <v>29.833333333333332</v>
      </c>
      <c r="J226" s="4"/>
      <c r="K226" s="1">
        <v>1</v>
      </c>
      <c r="L226" s="1">
        <f>((Fórmulas!C$6/Fórmulas!D$6)/0.7)*K226</f>
        <v>2.4489795918367347</v>
      </c>
      <c r="M226" s="1">
        <f>L226*Fórmulas!D$6</f>
        <v>857.14285714285711</v>
      </c>
    </row>
    <row r="227" spans="1:13" s="3" customFormat="1" x14ac:dyDescent="0.25">
      <c r="B227" s="25"/>
      <c r="C227" s="25"/>
      <c r="D227" s="25"/>
      <c r="E227" s="4">
        <v>0</v>
      </c>
      <c r="F227" s="4"/>
      <c r="G227" s="1">
        <f>((Fórmulas!C$6/Fórmulas!D$6)/Fórmulas!E$6)*E227</f>
        <v>0</v>
      </c>
      <c r="H227" s="1">
        <f>G227*Fórmulas!B$9</f>
        <v>0</v>
      </c>
      <c r="I227" s="7">
        <f t="shared" si="5"/>
        <v>0</v>
      </c>
      <c r="J227" s="4"/>
      <c r="K227" s="1">
        <v>1</v>
      </c>
      <c r="L227" s="1">
        <f>((Fórmulas!C$6/Fórmulas!D$6)/0.7)*K227</f>
        <v>2.4489795918367347</v>
      </c>
      <c r="M227" s="1">
        <f>L227*Fórmulas!D$6</f>
        <v>857.14285714285711</v>
      </c>
    </row>
    <row r="228" spans="1:13" s="3" customFormat="1" x14ac:dyDescent="0.25">
      <c r="B228" s="25"/>
      <c r="C228" s="25"/>
      <c r="D228" s="25"/>
      <c r="E228" s="4">
        <v>0</v>
      </c>
      <c r="F228" s="4"/>
      <c r="G228" s="1">
        <f>((Fórmulas!C$6/Fórmulas!D$6)/Fórmulas!E$6)*E228</f>
        <v>0</v>
      </c>
      <c r="H228" s="1">
        <f>G228*Fórmulas!B$9</f>
        <v>0</v>
      </c>
      <c r="I228" s="7">
        <f t="shared" si="5"/>
        <v>0</v>
      </c>
      <c r="J228" s="4"/>
      <c r="K228" s="1">
        <v>1</v>
      </c>
      <c r="L228" s="1">
        <f>((Fórmulas!C$6/Fórmulas!D$6)/0.7)*K228</f>
        <v>2.4489795918367347</v>
      </c>
      <c r="M228" s="1">
        <f>L228*Fórmulas!D$6</f>
        <v>857.14285714285711</v>
      </c>
    </row>
    <row r="229" spans="1:13" s="3" customFormat="1" x14ac:dyDescent="0.25">
      <c r="B229" s="25"/>
      <c r="C229" s="25"/>
      <c r="D229" s="25"/>
      <c r="E229" s="4">
        <v>0</v>
      </c>
      <c r="F229" s="4"/>
      <c r="G229" s="1">
        <f>((Fórmulas!C$6/Fórmulas!D$6)/Fórmulas!E$6)*E229</f>
        <v>0</v>
      </c>
      <c r="H229" s="1">
        <f>G229*Fórmulas!B$9</f>
        <v>0</v>
      </c>
      <c r="I229" s="7">
        <f t="shared" si="5"/>
        <v>0</v>
      </c>
      <c r="J229" s="4"/>
      <c r="K229" s="1">
        <v>1</v>
      </c>
      <c r="L229" s="1">
        <f>((Fórmulas!C$6/Fórmulas!D$6)/0.7)*K229</f>
        <v>2.4489795918367347</v>
      </c>
      <c r="M229" s="1">
        <f>L229*Fórmulas!D$6</f>
        <v>857.14285714285711</v>
      </c>
    </row>
    <row r="230" spans="1:13" s="3" customFormat="1" x14ac:dyDescent="0.25">
      <c r="B230" s="25"/>
      <c r="C230" s="25"/>
      <c r="D230" s="25"/>
      <c r="E230" s="4">
        <v>0</v>
      </c>
      <c r="F230" s="4"/>
      <c r="G230" s="1">
        <f>((Fórmulas!C$6/Fórmulas!D$6)/Fórmulas!E$6)*E230</f>
        <v>0</v>
      </c>
      <c r="H230" s="1">
        <f>G230*Fórmulas!B$9</f>
        <v>0</v>
      </c>
      <c r="I230" s="7">
        <f t="shared" si="5"/>
        <v>0</v>
      </c>
      <c r="J230" s="4"/>
      <c r="K230" s="1">
        <v>1</v>
      </c>
      <c r="L230" s="1">
        <f>((Fórmulas!C$6/Fórmulas!D$6)/0.7)*K230</f>
        <v>2.4489795918367347</v>
      </c>
      <c r="M230" s="1">
        <f>L230*Fórmulas!D$6</f>
        <v>857.14285714285711</v>
      </c>
    </row>
    <row r="231" spans="1:13" s="3" customFormat="1" x14ac:dyDescent="0.25">
      <c r="B231" s="25"/>
      <c r="C231" s="25"/>
      <c r="D231" s="25"/>
      <c r="E231" s="4">
        <v>0</v>
      </c>
      <c r="F231" s="4"/>
      <c r="G231" s="1">
        <f>((Fórmulas!C$6/Fórmulas!D$6)/Fórmulas!E$6)*E231</f>
        <v>0</v>
      </c>
      <c r="H231" s="1">
        <f>G231*Fórmulas!B$9</f>
        <v>0</v>
      </c>
      <c r="I231" s="7">
        <f t="shared" si="5"/>
        <v>0</v>
      </c>
      <c r="J231" s="4"/>
      <c r="K231" s="1">
        <v>1</v>
      </c>
      <c r="L231" s="1">
        <f>((Fórmulas!C$6/Fórmulas!D$6)/0.7)*K231</f>
        <v>2.4489795918367347</v>
      </c>
      <c r="M231" s="1">
        <f>L231*Fórmulas!D$6</f>
        <v>857.14285714285711</v>
      </c>
    </row>
    <row r="232" spans="1:13" s="4" customFormat="1" x14ac:dyDescent="0.25">
      <c r="B232" s="25"/>
      <c r="C232" s="25"/>
      <c r="D232" s="25"/>
      <c r="E232" s="4">
        <v>0</v>
      </c>
      <c r="G232" s="1">
        <f>((Fórmulas!C$6/Fórmulas!D$6)/Fórmulas!E$6)*E232</f>
        <v>0</v>
      </c>
      <c r="H232" s="1">
        <f>G232*Fórmulas!B$9</f>
        <v>0</v>
      </c>
      <c r="I232" s="7">
        <f t="shared" si="5"/>
        <v>0</v>
      </c>
      <c r="K232" s="1">
        <v>1</v>
      </c>
      <c r="L232" s="1">
        <f>((Fórmulas!C$6/Fórmulas!D$6)/0.7)*K232</f>
        <v>2.4489795918367347</v>
      </c>
      <c r="M232" s="1">
        <f>L232*Fórmulas!D$6</f>
        <v>857.14285714285711</v>
      </c>
    </row>
    <row r="233" spans="1:13" s="4" customFormat="1" x14ac:dyDescent="0.25">
      <c r="A233" s="4" t="s">
        <v>420</v>
      </c>
      <c r="B233" s="25" t="s">
        <v>419</v>
      </c>
      <c r="C233" s="25"/>
      <c r="D233" s="25"/>
      <c r="E233" s="4">
        <v>6.75</v>
      </c>
      <c r="G233" s="1">
        <f>((Fórmulas!C$6/Fórmulas!D$6)/Fórmulas!E$6)*E233</f>
        <v>16.530612244897959</v>
      </c>
      <c r="H233" s="1">
        <f>G233*Fórmulas!B$9</f>
        <v>5785.7142857142853</v>
      </c>
      <c r="I233" s="7">
        <f t="shared" si="5"/>
        <v>11.25</v>
      </c>
      <c r="K233" s="1">
        <v>1</v>
      </c>
      <c r="L233" s="1">
        <f>((Fórmulas!C$6/Fórmulas!D$6)/0.7)*K233</f>
        <v>2.4489795918367347</v>
      </c>
      <c r="M233" s="1">
        <f>L233*Fórmulas!D$6</f>
        <v>857.14285714285711</v>
      </c>
    </row>
    <row r="234" spans="1:13" s="4" customFormat="1" x14ac:dyDescent="0.25">
      <c r="B234" s="25"/>
      <c r="C234" s="25"/>
      <c r="D234" s="25"/>
      <c r="E234" s="4">
        <v>0</v>
      </c>
      <c r="G234" s="1">
        <f>((Fórmulas!C$6/Fórmulas!D$6)/Fórmulas!E$6)*E234</f>
        <v>0</v>
      </c>
      <c r="H234" s="1">
        <f>G234*Fórmulas!B$9</f>
        <v>0</v>
      </c>
      <c r="I234" s="7">
        <f t="shared" si="5"/>
        <v>0</v>
      </c>
      <c r="K234" s="1">
        <v>1</v>
      </c>
      <c r="L234" s="1">
        <f>((Fórmulas!C$6/Fórmulas!D$6)/0.7)*K234</f>
        <v>2.4489795918367347</v>
      </c>
      <c r="M234" s="1">
        <f>L234*Fórmulas!D$6</f>
        <v>857.14285714285711</v>
      </c>
    </row>
    <row r="235" spans="1:13" s="4" customFormat="1" x14ac:dyDescent="0.25">
      <c r="B235" s="25"/>
      <c r="C235" s="25"/>
      <c r="D235" s="25"/>
      <c r="E235" s="4">
        <v>0</v>
      </c>
      <c r="G235" s="1">
        <f>((Fórmulas!C$6/Fórmulas!D$6)/Fórmulas!E$6)*E235</f>
        <v>0</v>
      </c>
      <c r="H235" s="1">
        <f>G235*Fórmulas!B$9</f>
        <v>0</v>
      </c>
      <c r="I235" s="7">
        <f t="shared" si="5"/>
        <v>0</v>
      </c>
      <c r="K235" s="1">
        <v>1</v>
      </c>
      <c r="L235" s="1">
        <f>((Fórmulas!C$6/Fórmulas!D$6)/0.7)*K235</f>
        <v>2.4489795918367347</v>
      </c>
      <c r="M235" s="1">
        <f>L235*Fórmulas!D$6</f>
        <v>857.14285714285711</v>
      </c>
    </row>
    <row r="236" spans="1:13" s="4" customFormat="1" x14ac:dyDescent="0.25">
      <c r="B236" s="25"/>
      <c r="C236" s="25"/>
      <c r="D236" s="25"/>
      <c r="E236" s="4">
        <v>0</v>
      </c>
      <c r="G236" s="1">
        <f>((Fórmulas!C$6/Fórmulas!D$6)/Fórmulas!E$6)*E236</f>
        <v>0</v>
      </c>
      <c r="H236" s="1">
        <f>G236*Fórmulas!B$9</f>
        <v>0</v>
      </c>
      <c r="I236" s="7">
        <f t="shared" si="5"/>
        <v>0</v>
      </c>
      <c r="K236" s="1">
        <v>1</v>
      </c>
      <c r="L236" s="1">
        <f>((Fórmulas!C$6/Fórmulas!D$6)/0.7)*K236</f>
        <v>2.4489795918367347</v>
      </c>
      <c r="M236" s="1">
        <f>L236*Fórmulas!D$6</f>
        <v>857.14285714285711</v>
      </c>
    </row>
    <row r="237" spans="1:13" s="4" customFormat="1" x14ac:dyDescent="0.25">
      <c r="B237" s="25"/>
      <c r="C237" s="25"/>
      <c r="D237" s="25"/>
      <c r="E237" s="4">
        <v>0</v>
      </c>
      <c r="G237" s="1">
        <f>((Fórmulas!C$6/Fórmulas!D$6)/Fórmulas!E$6)*E237</f>
        <v>0</v>
      </c>
      <c r="H237" s="1">
        <f>G237*Fórmulas!B$9</f>
        <v>0</v>
      </c>
      <c r="I237" s="7">
        <f t="shared" si="5"/>
        <v>0</v>
      </c>
      <c r="K237" s="1">
        <v>1</v>
      </c>
      <c r="L237" s="1">
        <f>((Fórmulas!C$6/Fórmulas!D$6)/0.7)*K237</f>
        <v>2.4489795918367347</v>
      </c>
      <c r="M237" s="1">
        <f>L237*Fórmulas!D$6</f>
        <v>857.14285714285711</v>
      </c>
    </row>
    <row r="238" spans="1:13" s="4" customFormat="1" x14ac:dyDescent="0.25">
      <c r="B238" s="25"/>
      <c r="C238" s="25"/>
      <c r="D238" s="25"/>
      <c r="E238" s="4">
        <v>0</v>
      </c>
      <c r="G238" s="1">
        <f>((Fórmulas!C$6/Fórmulas!D$6)/Fórmulas!E$6)*E238</f>
        <v>0</v>
      </c>
      <c r="H238" s="1">
        <f>G238*Fórmulas!B$9</f>
        <v>0</v>
      </c>
      <c r="I238" s="7">
        <f t="shared" si="5"/>
        <v>0</v>
      </c>
      <c r="K238" s="1">
        <v>1</v>
      </c>
      <c r="L238" s="1">
        <f>((Fórmulas!C$6/Fórmulas!D$6)/0.7)*K238</f>
        <v>2.4489795918367347</v>
      </c>
      <c r="M238" s="1">
        <f>L238*Fórmulas!D$6</f>
        <v>857.14285714285711</v>
      </c>
    </row>
    <row r="239" spans="1:13" s="4" customFormat="1" x14ac:dyDescent="0.25">
      <c r="B239" s="25"/>
      <c r="C239" s="25"/>
      <c r="D239" s="25"/>
      <c r="E239" s="4">
        <v>0</v>
      </c>
      <c r="G239" s="1">
        <f>((Fórmulas!C$6/Fórmulas!D$6)/Fórmulas!E$6)*E239</f>
        <v>0</v>
      </c>
      <c r="H239" s="1">
        <f>G239*Fórmulas!B$9</f>
        <v>0</v>
      </c>
      <c r="I239" s="7">
        <f t="shared" si="5"/>
        <v>0</v>
      </c>
      <c r="K239" s="1">
        <v>1</v>
      </c>
      <c r="L239" s="1">
        <f>((Fórmulas!C$6/Fórmulas!D$6)/0.7)*K239</f>
        <v>2.4489795918367347</v>
      </c>
      <c r="M239" s="1">
        <f>L239*Fórmulas!D$6</f>
        <v>857.14285714285711</v>
      </c>
    </row>
    <row r="240" spans="1:13" s="4" customFormat="1" x14ac:dyDescent="0.25">
      <c r="B240" s="25"/>
      <c r="C240" s="25"/>
      <c r="D240" s="25"/>
      <c r="E240" s="4">
        <v>0</v>
      </c>
      <c r="G240" s="1">
        <f>((Fórmulas!C$6/Fórmulas!D$6)/Fórmulas!E$6)*E240</f>
        <v>0</v>
      </c>
      <c r="H240" s="1">
        <f>G240*Fórmulas!B$9</f>
        <v>0</v>
      </c>
      <c r="I240" s="7">
        <f t="shared" si="5"/>
        <v>0</v>
      </c>
      <c r="K240" s="1">
        <v>1</v>
      </c>
      <c r="L240" s="1">
        <f>((Fórmulas!C$6/Fórmulas!D$6)/0.7)*K240</f>
        <v>2.4489795918367347</v>
      </c>
      <c r="M240" s="1">
        <f>L240*Fórmulas!D$6</f>
        <v>857.14285714285711</v>
      </c>
    </row>
    <row r="241" spans="2:13" s="4" customFormat="1" x14ac:dyDescent="0.25">
      <c r="B241" s="25"/>
      <c r="C241" s="25"/>
      <c r="D241" s="25"/>
      <c r="E241" s="4">
        <v>0</v>
      </c>
      <c r="G241" s="1">
        <f>((Fórmulas!C$6/Fórmulas!D$6)/Fórmulas!E$6)*E241</f>
        <v>0</v>
      </c>
      <c r="H241" s="1">
        <f>G241*Fórmulas!B$9</f>
        <v>0</v>
      </c>
      <c r="I241" s="7">
        <f t="shared" si="5"/>
        <v>0</v>
      </c>
      <c r="K241" s="1">
        <v>1</v>
      </c>
      <c r="L241" s="1">
        <f>((Fórmulas!C$6/Fórmulas!D$6)/0.7)*K241</f>
        <v>2.4489795918367347</v>
      </c>
      <c r="M241" s="1">
        <f>L241*Fórmulas!D$6</f>
        <v>857.14285714285711</v>
      </c>
    </row>
    <row r="242" spans="2:13" s="4" customFormat="1" x14ac:dyDescent="0.25">
      <c r="B242" s="25"/>
      <c r="C242" s="25"/>
      <c r="D242" s="25"/>
      <c r="E242" s="4">
        <v>0</v>
      </c>
      <c r="G242" s="1">
        <f>((Fórmulas!C$6/Fórmulas!D$6)/Fórmulas!E$6)*E242</f>
        <v>0</v>
      </c>
      <c r="H242" s="1">
        <f>G242*Fórmulas!B$9</f>
        <v>0</v>
      </c>
      <c r="I242" s="7">
        <f t="shared" si="5"/>
        <v>0</v>
      </c>
      <c r="K242" s="1">
        <v>1</v>
      </c>
      <c r="L242" s="1">
        <f>((Fórmulas!C$6/Fórmulas!D$6)/0.7)*K242</f>
        <v>2.4489795918367347</v>
      </c>
      <c r="M242" s="1">
        <f>L242*Fórmulas!D$6</f>
        <v>857.14285714285711</v>
      </c>
    </row>
    <row r="243" spans="2:13" s="4" customFormat="1" x14ac:dyDescent="0.25">
      <c r="B243" s="25"/>
      <c r="C243" s="25"/>
      <c r="D243" s="25"/>
      <c r="E243" s="4">
        <v>0</v>
      </c>
      <c r="G243" s="1">
        <f>((Fórmulas!C$6/Fórmulas!D$6)/Fórmulas!E$6)*E243</f>
        <v>0</v>
      </c>
      <c r="H243" s="1">
        <f>G243*Fórmulas!B$9</f>
        <v>0</v>
      </c>
      <c r="I243" s="7">
        <f t="shared" si="5"/>
        <v>0</v>
      </c>
      <c r="K243" s="1">
        <v>1</v>
      </c>
      <c r="L243" s="1">
        <f>((Fórmulas!C$6/Fórmulas!D$6)/0.7)*K243</f>
        <v>2.4489795918367347</v>
      </c>
      <c r="M243" s="1">
        <f>L243*Fórmulas!D$6</f>
        <v>857.14285714285711</v>
      </c>
    </row>
    <row r="244" spans="2:13" s="4" customFormat="1" x14ac:dyDescent="0.25">
      <c r="B244" s="25"/>
      <c r="C244" s="25"/>
      <c r="D244" s="25"/>
      <c r="E244" s="4">
        <v>0</v>
      </c>
      <c r="G244" s="1">
        <f>((Fórmulas!C$6/Fórmulas!D$6)/Fórmulas!E$6)*E244</f>
        <v>0</v>
      </c>
      <c r="H244" s="1">
        <f>G244*Fórmulas!B$9</f>
        <v>0</v>
      </c>
      <c r="I244" s="7">
        <f t="shared" si="5"/>
        <v>0</v>
      </c>
      <c r="K244" s="1">
        <v>1</v>
      </c>
      <c r="L244" s="1">
        <f>((Fórmulas!C$6/Fórmulas!D$6)/0.7)*K244</f>
        <v>2.4489795918367347</v>
      </c>
      <c r="M244" s="1">
        <f>L244*Fórmulas!D$6</f>
        <v>857.14285714285711</v>
      </c>
    </row>
    <row r="245" spans="2:13" s="4" customFormat="1" x14ac:dyDescent="0.25">
      <c r="B245" s="25"/>
      <c r="C245" s="25"/>
      <c r="D245" s="25"/>
      <c r="E245" s="4">
        <v>0</v>
      </c>
      <c r="G245" s="1">
        <f>((Fórmulas!C$6/Fórmulas!D$6)/Fórmulas!E$6)*E245</f>
        <v>0</v>
      </c>
      <c r="H245" s="1">
        <f>G245*Fórmulas!B$9</f>
        <v>0</v>
      </c>
      <c r="I245" s="7">
        <f t="shared" si="5"/>
        <v>0</v>
      </c>
      <c r="K245" s="1">
        <v>1</v>
      </c>
      <c r="L245" s="1">
        <f>((Fórmulas!C$6/Fórmulas!D$6)/0.7)*K245</f>
        <v>2.4489795918367347</v>
      </c>
      <c r="M245" s="1">
        <f>L245*Fórmulas!D$6</f>
        <v>857.14285714285711</v>
      </c>
    </row>
    <row r="246" spans="2:13" s="4" customFormat="1" x14ac:dyDescent="0.25">
      <c r="B246" s="25"/>
      <c r="C246" s="25"/>
      <c r="D246" s="25"/>
      <c r="E246" s="4">
        <v>0</v>
      </c>
      <c r="G246" s="1">
        <f>((Fórmulas!C$6/Fórmulas!D$6)/Fórmulas!E$6)*E246</f>
        <v>0</v>
      </c>
      <c r="H246" s="1">
        <f>G246*Fórmulas!B$9</f>
        <v>0</v>
      </c>
      <c r="I246" s="7">
        <f t="shared" si="5"/>
        <v>0</v>
      </c>
      <c r="K246" s="1">
        <v>1</v>
      </c>
      <c r="L246" s="1">
        <f>((Fórmulas!C$6/Fórmulas!D$6)/0.7)*K246</f>
        <v>2.4489795918367347</v>
      </c>
      <c r="M246" s="1">
        <f>L246*Fórmulas!D$6</f>
        <v>857.14285714285711</v>
      </c>
    </row>
    <row r="247" spans="2:13" s="4" customFormat="1" x14ac:dyDescent="0.25">
      <c r="B247" s="25"/>
      <c r="C247" s="25"/>
      <c r="D247" s="25"/>
      <c r="E247" s="4">
        <v>0</v>
      </c>
      <c r="G247" s="1">
        <f>((Fórmulas!C$6/Fórmulas!D$6)/Fórmulas!E$6)*E247</f>
        <v>0</v>
      </c>
      <c r="H247" s="1">
        <f>G247*Fórmulas!B$9</f>
        <v>0</v>
      </c>
      <c r="I247" s="7">
        <f t="shared" si="5"/>
        <v>0</v>
      </c>
      <c r="K247" s="1">
        <v>1</v>
      </c>
      <c r="L247" s="1">
        <f>((Fórmulas!C$6/Fórmulas!D$6)/0.7)*K247</f>
        <v>2.4489795918367347</v>
      </c>
      <c r="M247" s="1">
        <f>L247*Fórmulas!D$6</f>
        <v>857.14285714285711</v>
      </c>
    </row>
    <row r="248" spans="2:13" s="4" customFormat="1" x14ac:dyDescent="0.25">
      <c r="B248" s="25"/>
      <c r="C248" s="25"/>
      <c r="D248" s="25"/>
      <c r="E248" s="4">
        <v>0</v>
      </c>
      <c r="G248" s="1">
        <f>((Fórmulas!C$6/Fórmulas!D$6)/Fórmulas!E$6)*E248</f>
        <v>0</v>
      </c>
      <c r="H248" s="1">
        <f>G248*Fórmulas!B$9</f>
        <v>0</v>
      </c>
      <c r="I248" s="7">
        <f t="shared" si="5"/>
        <v>0</v>
      </c>
      <c r="K248" s="1">
        <v>1</v>
      </c>
      <c r="L248" s="1">
        <f>((Fórmulas!C$6/Fórmulas!D$6)/0.7)*K248</f>
        <v>2.4489795918367347</v>
      </c>
      <c r="M248" s="1">
        <f>L248*Fórmulas!D$6</f>
        <v>857.14285714285711</v>
      </c>
    </row>
    <row r="249" spans="2:13" s="4" customFormat="1" x14ac:dyDescent="0.25">
      <c r="B249" s="25"/>
      <c r="C249" s="25"/>
      <c r="D249" s="25"/>
      <c r="E249" s="4">
        <v>0</v>
      </c>
      <c r="G249" s="1">
        <f>((Fórmulas!C$6/Fórmulas!D$6)/Fórmulas!E$6)*E249</f>
        <v>0</v>
      </c>
      <c r="H249" s="1">
        <f>G249*Fórmulas!B$9</f>
        <v>0</v>
      </c>
      <c r="I249" s="7">
        <f t="shared" si="5"/>
        <v>0</v>
      </c>
      <c r="K249" s="1">
        <v>1</v>
      </c>
      <c r="L249" s="1">
        <f>((Fórmulas!C$6/Fórmulas!D$6)/0.7)*K249</f>
        <v>2.4489795918367347</v>
      </c>
      <c r="M249" s="1">
        <f>L249*Fórmulas!D$6</f>
        <v>857.14285714285711</v>
      </c>
    </row>
    <row r="250" spans="2:13" s="4" customFormat="1" x14ac:dyDescent="0.25">
      <c r="B250" s="25"/>
      <c r="C250" s="25"/>
      <c r="D250" s="25"/>
      <c r="E250" s="4">
        <v>0</v>
      </c>
      <c r="G250" s="1">
        <f>((Fórmulas!C$6/Fórmulas!D$6)/Fórmulas!E$6)*E250</f>
        <v>0</v>
      </c>
      <c r="H250" s="1">
        <f>G250*Fórmulas!B$9</f>
        <v>0</v>
      </c>
      <c r="I250" s="7">
        <f t="shared" si="5"/>
        <v>0</v>
      </c>
      <c r="K250" s="1">
        <v>1</v>
      </c>
      <c r="L250" s="1">
        <f>((Fórmulas!C$6/Fórmulas!D$6)/0.7)*K250</f>
        <v>2.4489795918367347</v>
      </c>
      <c r="M250" s="1">
        <f>L250*Fórmulas!D$6</f>
        <v>857.14285714285711</v>
      </c>
    </row>
    <row r="251" spans="2:13" s="4" customFormat="1" x14ac:dyDescent="0.25">
      <c r="B251" s="25"/>
      <c r="C251" s="25"/>
      <c r="D251" s="25"/>
      <c r="E251" s="4">
        <v>0</v>
      </c>
      <c r="G251" s="1">
        <f>((Fórmulas!C$6/Fórmulas!D$6)/Fórmulas!E$6)*E251</f>
        <v>0</v>
      </c>
      <c r="H251" s="1">
        <f>G251*Fórmulas!B$9</f>
        <v>0</v>
      </c>
      <c r="I251" s="7">
        <f t="shared" si="5"/>
        <v>0</v>
      </c>
      <c r="K251" s="1">
        <v>1</v>
      </c>
      <c r="L251" s="1">
        <f>((Fórmulas!C$6/Fórmulas!D$6)/0.7)*K251</f>
        <v>2.4489795918367347</v>
      </c>
      <c r="M251" s="1">
        <f>L251*Fórmulas!D$6</f>
        <v>857.14285714285711</v>
      </c>
    </row>
    <row r="252" spans="2:13" s="4" customFormat="1" x14ac:dyDescent="0.25">
      <c r="B252" s="25"/>
      <c r="C252" s="25"/>
      <c r="D252" s="25"/>
      <c r="E252" s="4">
        <v>0</v>
      </c>
      <c r="G252" s="1">
        <f>((Fórmulas!C$6/Fórmulas!D$6)/Fórmulas!E$6)*E252</f>
        <v>0</v>
      </c>
      <c r="H252" s="1">
        <f>G252*Fórmulas!B$9</f>
        <v>0</v>
      </c>
      <c r="I252" s="7">
        <f t="shared" si="5"/>
        <v>0</v>
      </c>
      <c r="K252" s="1">
        <v>1</v>
      </c>
      <c r="L252" s="1">
        <f>((Fórmulas!C$6/Fórmulas!D$6)/0.7)*K252</f>
        <v>2.4489795918367347</v>
      </c>
      <c r="M252" s="1">
        <f>L252*Fórmulas!D$6</f>
        <v>857.14285714285711</v>
      </c>
    </row>
    <row r="253" spans="2:13" s="4" customFormat="1" x14ac:dyDescent="0.25">
      <c r="B253" s="25"/>
      <c r="C253" s="25"/>
      <c r="D253" s="25"/>
      <c r="E253" s="4">
        <v>0</v>
      </c>
      <c r="G253" s="1">
        <f>((Fórmulas!C$6/Fórmulas!D$6)/Fórmulas!E$6)*E253</f>
        <v>0</v>
      </c>
      <c r="H253" s="1">
        <f>G253*Fórmulas!B$9</f>
        <v>0</v>
      </c>
      <c r="I253" s="7">
        <f t="shared" si="5"/>
        <v>0</v>
      </c>
      <c r="K253" s="1">
        <v>1</v>
      </c>
      <c r="L253" s="1">
        <f>((Fórmulas!C$6/Fórmulas!D$6)/0.7)*K253</f>
        <v>2.4489795918367347</v>
      </c>
      <c r="M253" s="1">
        <f>L253*Fórmulas!D$6</f>
        <v>857.14285714285711</v>
      </c>
    </row>
    <row r="254" spans="2:13" s="4" customFormat="1" x14ac:dyDescent="0.25">
      <c r="B254" s="25"/>
      <c r="C254" s="25"/>
      <c r="D254" s="25"/>
      <c r="E254" s="4">
        <v>0</v>
      </c>
      <c r="G254" s="1">
        <f>((Fórmulas!C$6/Fórmulas!D$6)/Fórmulas!E$6)*E254</f>
        <v>0</v>
      </c>
      <c r="H254" s="1">
        <f>G254*Fórmulas!B$9</f>
        <v>0</v>
      </c>
      <c r="I254" s="7">
        <f t="shared" si="5"/>
        <v>0</v>
      </c>
      <c r="K254" s="1">
        <v>1</v>
      </c>
      <c r="L254" s="1">
        <f>((Fórmulas!C$6/Fórmulas!D$6)/0.7)*K254</f>
        <v>2.4489795918367347</v>
      </c>
      <c r="M254" s="1">
        <f>L254*Fórmulas!D$6</f>
        <v>857.14285714285711</v>
      </c>
    </row>
    <row r="255" spans="2:13" s="4" customFormat="1" x14ac:dyDescent="0.25">
      <c r="B255" s="25"/>
      <c r="C255" s="25"/>
      <c r="D255" s="25"/>
      <c r="E255" s="4">
        <v>0</v>
      </c>
      <c r="G255" s="1">
        <f>((Fórmulas!C$6/Fórmulas!D$6)/Fórmulas!E$6)*E255</f>
        <v>0</v>
      </c>
      <c r="H255" s="1">
        <f>G255*Fórmulas!B$9</f>
        <v>0</v>
      </c>
      <c r="I255" s="7">
        <f t="shared" si="5"/>
        <v>0</v>
      </c>
      <c r="K255" s="1">
        <v>1</v>
      </c>
      <c r="L255" s="1">
        <f>((Fórmulas!C$6/Fórmulas!D$6)/0.7)*K255</f>
        <v>2.4489795918367347</v>
      </c>
      <c r="M255" s="1">
        <f>L255*Fórmulas!D$6</f>
        <v>857.14285714285711</v>
      </c>
    </row>
    <row r="256" spans="2:13" s="3" customFormat="1" x14ac:dyDescent="0.25">
      <c r="B256" s="28" t="s">
        <v>221</v>
      </c>
      <c r="C256" s="28"/>
      <c r="D256" s="28"/>
      <c r="F256" s="4"/>
      <c r="G256" s="1">
        <f>((Fórmulas!C$6/Fórmulas!D$6)/Fórmulas!E$6)*E256</f>
        <v>0</v>
      </c>
      <c r="H256" s="1">
        <f>G256*Fórmulas!B$9</f>
        <v>0</v>
      </c>
      <c r="I256" s="7">
        <f t="shared" si="5"/>
        <v>0</v>
      </c>
      <c r="K256" s="1"/>
      <c r="L256" s="1"/>
      <c r="M256" s="1"/>
    </row>
    <row r="257" spans="1:13" x14ac:dyDescent="0.25">
      <c r="B257" s="25"/>
      <c r="C257" s="25"/>
      <c r="D257" s="25"/>
      <c r="G257" s="1">
        <f>((Fórmulas!C$6/Fórmulas!D$6)/Fórmulas!E$6)*E257</f>
        <v>0</v>
      </c>
      <c r="H257" s="1">
        <f>G257*Fórmulas!B$9</f>
        <v>0</v>
      </c>
      <c r="I257" s="7">
        <f t="shared" si="5"/>
        <v>0</v>
      </c>
      <c r="K257" s="1"/>
      <c r="L257" s="1">
        <f>((Fórmulas!C$6/Fórmulas!D$6)/0.7)*K257</f>
        <v>0</v>
      </c>
      <c r="M257" s="1">
        <f>L257*Fórmulas!D$6</f>
        <v>0</v>
      </c>
    </row>
    <row r="258" spans="1:13" s="3" customFormat="1" x14ac:dyDescent="0.25">
      <c r="A258" s="11" t="s">
        <v>192</v>
      </c>
      <c r="B258" s="25" t="s">
        <v>586</v>
      </c>
      <c r="C258" s="25"/>
      <c r="D258" s="25"/>
      <c r="E258" s="3">
        <v>7</v>
      </c>
      <c r="F258" s="4"/>
      <c r="G258" s="1">
        <f>((Fórmulas!C$6/Fórmulas!D$6)/Fórmulas!E$6)*E258</f>
        <v>17.142857142857142</v>
      </c>
      <c r="H258" s="1">
        <f>G258*Fórmulas!B$9</f>
        <v>6000</v>
      </c>
      <c r="I258" s="7">
        <f t="shared" si="5"/>
        <v>11.666666666666668</v>
      </c>
      <c r="K258" s="1">
        <v>1</v>
      </c>
      <c r="L258" s="1">
        <f>((Fórmulas!C$6/Fórmulas!D$6)/0.7)*K258</f>
        <v>2.4489795918367347</v>
      </c>
      <c r="M258" s="1">
        <f>L258*Fórmulas!D$6</f>
        <v>857.14285714285711</v>
      </c>
    </row>
    <row r="259" spans="1:13" s="3" customFormat="1" x14ac:dyDescent="0.25">
      <c r="A259" s="11" t="s">
        <v>192</v>
      </c>
      <c r="B259" s="25" t="s">
        <v>587</v>
      </c>
      <c r="C259" s="25"/>
      <c r="D259" s="25"/>
      <c r="E259" s="3">
        <v>7</v>
      </c>
      <c r="F259" s="4"/>
      <c r="G259" s="1">
        <f>((Fórmulas!C$6/Fórmulas!D$6)/Fórmulas!E$6)*E259</f>
        <v>17.142857142857142</v>
      </c>
      <c r="H259" s="1">
        <f>G259*Fórmulas!B$9</f>
        <v>6000</v>
      </c>
      <c r="I259" s="7">
        <f t="shared" si="5"/>
        <v>11.666666666666668</v>
      </c>
      <c r="K259" s="1">
        <v>1</v>
      </c>
      <c r="L259" s="1">
        <f>((Fórmulas!C$6/Fórmulas!D$6)/0.7)*K259</f>
        <v>2.4489795918367347</v>
      </c>
      <c r="M259" s="1">
        <f>L259*Fórmulas!D$6</f>
        <v>857.14285714285711</v>
      </c>
    </row>
    <row r="260" spans="1:13" s="3" customFormat="1" x14ac:dyDescent="0.25">
      <c r="A260" s="11" t="s">
        <v>192</v>
      </c>
      <c r="B260" s="25" t="s">
        <v>196</v>
      </c>
      <c r="C260" s="25"/>
      <c r="D260" s="25"/>
      <c r="E260" s="3">
        <v>7</v>
      </c>
      <c r="F260" s="4"/>
      <c r="G260" s="1">
        <f>((Fórmulas!C$6/Fórmulas!D$6)/Fórmulas!E$6)*E260</f>
        <v>17.142857142857142</v>
      </c>
      <c r="H260" s="1">
        <f>G260*Fórmulas!B$9</f>
        <v>6000</v>
      </c>
      <c r="I260" s="7">
        <f t="shared" si="5"/>
        <v>11.666666666666668</v>
      </c>
      <c r="K260" s="1">
        <v>1</v>
      </c>
      <c r="L260" s="1">
        <f>((Fórmulas!C$6/Fórmulas!D$6)/0.7)*K260</f>
        <v>2.4489795918367347</v>
      </c>
      <c r="M260" s="1">
        <f>L260*Fórmulas!D$6</f>
        <v>857.14285714285711</v>
      </c>
    </row>
    <row r="261" spans="1:13" s="3" customFormat="1" x14ac:dyDescent="0.25">
      <c r="B261" s="25"/>
      <c r="C261" s="25"/>
      <c r="D261" s="25"/>
      <c r="E261" s="3">
        <v>0</v>
      </c>
      <c r="F261" s="4"/>
      <c r="G261" s="1">
        <f>((Fórmulas!C$6/Fórmulas!D$6)/Fórmulas!E$6)*E261</f>
        <v>0</v>
      </c>
      <c r="H261" s="1">
        <f>G261*Fórmulas!B$9</f>
        <v>0</v>
      </c>
      <c r="I261" s="7">
        <f t="shared" si="5"/>
        <v>0</v>
      </c>
      <c r="K261" s="1">
        <v>1</v>
      </c>
      <c r="L261" s="1">
        <f>((Fórmulas!C$6/Fórmulas!D$6)/0.7)*K261</f>
        <v>2.4489795918367347</v>
      </c>
      <c r="M261" s="1">
        <f>L261*Fórmulas!D$6</f>
        <v>857.14285714285711</v>
      </c>
    </row>
    <row r="262" spans="1:13" s="3" customFormat="1" x14ac:dyDescent="0.25">
      <c r="B262" s="25"/>
      <c r="C262" s="25"/>
      <c r="D262" s="25"/>
      <c r="E262" s="3">
        <v>0</v>
      </c>
      <c r="F262" s="4"/>
      <c r="G262" s="1">
        <f>((Fórmulas!C$6/Fórmulas!D$6)/Fórmulas!E$6)*E262</f>
        <v>0</v>
      </c>
      <c r="H262" s="1">
        <f>G262*Fórmulas!B$9</f>
        <v>0</v>
      </c>
      <c r="I262" s="7">
        <f t="shared" si="5"/>
        <v>0</v>
      </c>
      <c r="K262" s="1">
        <v>1</v>
      </c>
      <c r="L262" s="1">
        <f>((Fórmulas!C$6/Fórmulas!D$6)/0.7)*K262</f>
        <v>2.4489795918367347</v>
      </c>
      <c r="M262" s="1">
        <f>L262*Fórmulas!D$6</f>
        <v>857.14285714285711</v>
      </c>
    </row>
    <row r="263" spans="1:13" s="3" customFormat="1" x14ac:dyDescent="0.25">
      <c r="B263" s="25"/>
      <c r="C263" s="25"/>
      <c r="D263" s="25"/>
      <c r="E263" s="3">
        <v>0</v>
      </c>
      <c r="F263" s="4"/>
      <c r="G263" s="1">
        <f>((Fórmulas!C$6/Fórmulas!D$6)/Fórmulas!E$6)*E263</f>
        <v>0</v>
      </c>
      <c r="H263" s="1">
        <f>G263*Fórmulas!B$9</f>
        <v>0</v>
      </c>
      <c r="I263" s="7">
        <f t="shared" si="5"/>
        <v>0</v>
      </c>
      <c r="K263" s="1">
        <v>1</v>
      </c>
      <c r="L263" s="1">
        <f>((Fórmulas!C$6/Fórmulas!D$6)/0.7)*K263</f>
        <v>2.4489795918367347</v>
      </c>
      <c r="M263" s="1">
        <f>L263*Fórmulas!D$6</f>
        <v>857.14285714285711</v>
      </c>
    </row>
    <row r="264" spans="1:13" s="3" customFormat="1" x14ac:dyDescent="0.25">
      <c r="B264" s="25"/>
      <c r="C264" s="25"/>
      <c r="D264" s="25"/>
      <c r="E264" s="3">
        <v>0</v>
      </c>
      <c r="F264" s="4"/>
      <c r="G264" s="1">
        <f>((Fórmulas!C$6/Fórmulas!D$6)/Fórmulas!E$6)*E264</f>
        <v>0</v>
      </c>
      <c r="H264" s="1">
        <f>G264*Fórmulas!B$9</f>
        <v>0</v>
      </c>
      <c r="I264" s="7">
        <f t="shared" si="5"/>
        <v>0</v>
      </c>
      <c r="K264" s="1">
        <v>1</v>
      </c>
      <c r="L264" s="1">
        <f>((Fórmulas!C$6/Fórmulas!D$6)/0.7)*K264</f>
        <v>2.4489795918367347</v>
      </c>
      <c r="M264" s="1">
        <f>L264*Fórmulas!D$6</f>
        <v>857.14285714285711</v>
      </c>
    </row>
    <row r="265" spans="1:13" s="3" customFormat="1" x14ac:dyDescent="0.25">
      <c r="B265" s="25"/>
      <c r="C265" s="25"/>
      <c r="D265" s="25"/>
      <c r="E265" s="3">
        <v>0</v>
      </c>
      <c r="F265" s="4"/>
      <c r="G265" s="1">
        <f>((Fórmulas!C$6/Fórmulas!D$6)/Fórmulas!E$6)*E265</f>
        <v>0</v>
      </c>
      <c r="H265" s="1">
        <f>G265*Fórmulas!B$9</f>
        <v>0</v>
      </c>
      <c r="I265" s="7">
        <f t="shared" si="5"/>
        <v>0</v>
      </c>
      <c r="K265" s="1">
        <v>1</v>
      </c>
      <c r="L265" s="1">
        <f>((Fórmulas!C$6/Fórmulas!D$6)/0.7)*K265</f>
        <v>2.4489795918367347</v>
      </c>
      <c r="M265" s="1">
        <f>L265*Fórmulas!D$6</f>
        <v>857.14285714285711</v>
      </c>
    </row>
    <row r="266" spans="1:13" s="3" customFormat="1" x14ac:dyDescent="0.25">
      <c r="B266" s="25"/>
      <c r="C266" s="25"/>
      <c r="D266" s="25"/>
      <c r="E266" s="3">
        <v>0</v>
      </c>
      <c r="F266" s="4"/>
      <c r="G266" s="1">
        <f>((Fórmulas!C$6/Fórmulas!D$6)/Fórmulas!E$6)*E266</f>
        <v>0</v>
      </c>
      <c r="H266" s="1">
        <f>G266*Fórmulas!B$9</f>
        <v>0</v>
      </c>
      <c r="I266" s="7">
        <f t="shared" si="5"/>
        <v>0</v>
      </c>
      <c r="K266" s="1">
        <v>1</v>
      </c>
      <c r="L266" s="1">
        <f>((Fórmulas!C$6/Fórmulas!D$6)/0.7)*K266</f>
        <v>2.4489795918367347</v>
      </c>
      <c r="M266" s="1">
        <f>L266*Fórmulas!D$6</f>
        <v>857.14285714285711</v>
      </c>
    </row>
    <row r="267" spans="1:13" s="3" customFormat="1" x14ac:dyDescent="0.25">
      <c r="B267" s="25"/>
      <c r="C267" s="25"/>
      <c r="D267" s="25"/>
      <c r="E267" s="3">
        <v>0</v>
      </c>
      <c r="F267" s="4"/>
      <c r="G267" s="1">
        <f>((Fórmulas!C$6/Fórmulas!D$6)/Fórmulas!E$6)*E267</f>
        <v>0</v>
      </c>
      <c r="H267" s="1">
        <f>G267*Fórmulas!B$9</f>
        <v>0</v>
      </c>
      <c r="I267" s="7">
        <f t="shared" si="5"/>
        <v>0</v>
      </c>
      <c r="K267" s="1">
        <v>1</v>
      </c>
      <c r="L267" s="1">
        <f>((Fórmulas!C$6/Fórmulas!D$6)/0.7)*K267</f>
        <v>2.4489795918367347</v>
      </c>
      <c r="M267" s="1">
        <f>L267*Fórmulas!D$6</f>
        <v>857.14285714285711</v>
      </c>
    </row>
    <row r="268" spans="1:13" s="3" customFormat="1" x14ac:dyDescent="0.25">
      <c r="B268" s="25"/>
      <c r="C268" s="25"/>
      <c r="D268" s="25"/>
      <c r="E268" s="3">
        <v>0</v>
      </c>
      <c r="F268" s="4"/>
      <c r="G268" s="1">
        <f>((Fórmulas!C$6/Fórmulas!D$6)/Fórmulas!E$6)*E268</f>
        <v>0</v>
      </c>
      <c r="H268" s="1">
        <f>G268*Fórmulas!B$9</f>
        <v>0</v>
      </c>
      <c r="I268" s="7">
        <f t="shared" si="5"/>
        <v>0</v>
      </c>
      <c r="K268" s="1">
        <v>1</v>
      </c>
      <c r="L268" s="1">
        <f>((Fórmulas!C$6/Fórmulas!D$6)/0.7)*K268</f>
        <v>2.4489795918367347</v>
      </c>
      <c r="M268" s="1">
        <f>L268*Fórmulas!D$6</f>
        <v>857.14285714285711</v>
      </c>
    </row>
    <row r="269" spans="1:13" s="3" customFormat="1" x14ac:dyDescent="0.25">
      <c r="B269" s="25"/>
      <c r="C269" s="25"/>
      <c r="D269" s="25"/>
      <c r="E269" s="3">
        <v>0</v>
      </c>
      <c r="F269" s="4"/>
      <c r="G269" s="1">
        <f>((Fórmulas!C$6/Fórmulas!D$6)/Fórmulas!E$6)*E269</f>
        <v>0</v>
      </c>
      <c r="H269" s="1">
        <f>G269*Fórmulas!B$9</f>
        <v>0</v>
      </c>
      <c r="I269" s="7">
        <f t="shared" si="5"/>
        <v>0</v>
      </c>
      <c r="K269" s="1">
        <v>1</v>
      </c>
      <c r="L269" s="1">
        <f>((Fórmulas!C$6/Fórmulas!D$6)/0.7)*K269</f>
        <v>2.4489795918367347</v>
      </c>
      <c r="M269" s="1">
        <f>L269*Fórmulas!D$6</f>
        <v>857.14285714285711</v>
      </c>
    </row>
    <row r="270" spans="1:13" s="3" customFormat="1" x14ac:dyDescent="0.25">
      <c r="B270" s="25"/>
      <c r="C270" s="25"/>
      <c r="D270" s="25"/>
      <c r="E270" s="3">
        <v>0</v>
      </c>
      <c r="F270" s="4"/>
      <c r="G270" s="1">
        <f>((Fórmulas!C$6/Fórmulas!D$6)/Fórmulas!E$6)*E270</f>
        <v>0</v>
      </c>
      <c r="H270" s="1">
        <f>G270*Fórmulas!B$9</f>
        <v>0</v>
      </c>
      <c r="I270" s="7">
        <f t="shared" si="5"/>
        <v>0</v>
      </c>
      <c r="K270" s="1">
        <v>1</v>
      </c>
      <c r="L270" s="1">
        <f>((Fórmulas!C$6/Fórmulas!D$6)/0.7)*K270</f>
        <v>2.4489795918367347</v>
      </c>
      <c r="M270" s="1">
        <f>L270*Fórmulas!D$6</f>
        <v>857.14285714285711</v>
      </c>
    </row>
    <row r="271" spans="1:13" s="3" customFormat="1" x14ac:dyDescent="0.25">
      <c r="B271" s="25"/>
      <c r="C271" s="25"/>
      <c r="D271" s="25"/>
      <c r="E271" s="3">
        <v>0</v>
      </c>
      <c r="F271" s="4"/>
      <c r="G271" s="1">
        <f>((Fórmulas!C$6/Fórmulas!D$6)/Fórmulas!E$6)*E271</f>
        <v>0</v>
      </c>
      <c r="H271" s="1">
        <f>G271*Fórmulas!B$9</f>
        <v>0</v>
      </c>
      <c r="I271" s="7">
        <f t="shared" si="5"/>
        <v>0</v>
      </c>
      <c r="K271" s="1">
        <v>1</v>
      </c>
      <c r="L271" s="1">
        <f>((Fórmulas!C$6/Fórmulas!D$6)/0.7)*K271</f>
        <v>2.4489795918367347</v>
      </c>
      <c r="M271" s="1">
        <f>L271*Fórmulas!D$6</f>
        <v>857.14285714285711</v>
      </c>
    </row>
    <row r="272" spans="1:13" s="3" customFormat="1" x14ac:dyDescent="0.25">
      <c r="B272" s="25"/>
      <c r="C272" s="25"/>
      <c r="D272" s="25"/>
      <c r="E272" s="3">
        <v>0</v>
      </c>
      <c r="F272" s="4"/>
      <c r="G272" s="1">
        <f>((Fórmulas!C$6/Fórmulas!D$6)/Fórmulas!E$6)*E272</f>
        <v>0</v>
      </c>
      <c r="H272" s="1">
        <f>G272*Fórmulas!B$9</f>
        <v>0</v>
      </c>
      <c r="I272" s="7">
        <f t="shared" si="5"/>
        <v>0</v>
      </c>
      <c r="K272" s="1">
        <v>1</v>
      </c>
      <c r="L272" s="1">
        <f>((Fórmulas!C$6/Fórmulas!D$6)/0.7)*K272</f>
        <v>2.4489795918367347</v>
      </c>
      <c r="M272" s="1">
        <f>L272*Fórmulas!D$6</f>
        <v>857.14285714285711</v>
      </c>
    </row>
    <row r="273" spans="1:13" s="3" customFormat="1" x14ac:dyDescent="0.25">
      <c r="A273" s="11" t="s">
        <v>222</v>
      </c>
      <c r="B273" s="38" t="s">
        <v>223</v>
      </c>
      <c r="C273" s="38"/>
      <c r="D273" s="38"/>
      <c r="E273" s="3">
        <v>12.7</v>
      </c>
      <c r="F273" s="4"/>
      <c r="G273" s="1">
        <f>((Fórmulas!C$6/Fórmulas!D$6)/Fórmulas!E$6)*E273</f>
        <v>31.102040816326529</v>
      </c>
      <c r="H273" s="1">
        <f>G273*Fórmulas!B$9</f>
        <v>10885.714285714284</v>
      </c>
      <c r="I273" s="7">
        <f t="shared" ref="I273:I336" si="6">E273/0.6</f>
        <v>21.166666666666668</v>
      </c>
      <c r="K273" s="1">
        <v>1</v>
      </c>
      <c r="L273" s="1">
        <f>((Fórmulas!C$6/Fórmulas!D$6)/0.7)*K273</f>
        <v>2.4489795918367347</v>
      </c>
      <c r="M273" s="1">
        <f>L273*Fórmulas!D$6</f>
        <v>857.14285714285711</v>
      </c>
    </row>
    <row r="274" spans="1:13" s="3" customFormat="1" x14ac:dyDescent="0.25">
      <c r="A274" s="3" t="s">
        <v>222</v>
      </c>
      <c r="B274" s="38" t="s">
        <v>228</v>
      </c>
      <c r="C274" s="38"/>
      <c r="D274" s="38"/>
      <c r="E274" s="3">
        <v>10</v>
      </c>
      <c r="F274" s="4"/>
      <c r="G274" s="1">
        <f>((Fórmulas!C$6/Fórmulas!D$6)/Fórmulas!E$6)*E274</f>
        <v>24.489795918367349</v>
      </c>
      <c r="H274" s="1">
        <f>G274*Fórmulas!B$9</f>
        <v>8571.4285714285725</v>
      </c>
      <c r="I274" s="7">
        <f t="shared" si="6"/>
        <v>16.666666666666668</v>
      </c>
      <c r="K274" s="1">
        <v>1</v>
      </c>
      <c r="L274" s="1">
        <f>((Fórmulas!C$6/Fórmulas!D$6)/0.7)*K274</f>
        <v>2.4489795918367347</v>
      </c>
      <c r="M274" s="1">
        <f>L274*Fórmulas!D$6</f>
        <v>857.14285714285711</v>
      </c>
    </row>
    <row r="275" spans="1:13" s="3" customFormat="1" x14ac:dyDescent="0.25">
      <c r="A275" s="3" t="s">
        <v>222</v>
      </c>
      <c r="B275" s="38" t="s">
        <v>224</v>
      </c>
      <c r="C275" s="38"/>
      <c r="D275" s="38"/>
      <c r="E275" s="3">
        <v>10</v>
      </c>
      <c r="F275" s="4"/>
      <c r="G275" s="1">
        <f>((Fórmulas!C$6/Fórmulas!D$6)/Fórmulas!E$6)*E275</f>
        <v>24.489795918367349</v>
      </c>
      <c r="H275" s="1">
        <f>G275*Fórmulas!B$9</f>
        <v>8571.4285714285725</v>
      </c>
      <c r="I275" s="7">
        <f t="shared" si="6"/>
        <v>16.666666666666668</v>
      </c>
      <c r="K275" s="1">
        <v>1</v>
      </c>
      <c r="L275" s="1">
        <f>((Fórmulas!C$6/Fórmulas!D$6)/0.7)*K275</f>
        <v>2.4489795918367347</v>
      </c>
      <c r="M275" s="1">
        <f>L275*Fórmulas!D$6</f>
        <v>857.14285714285711</v>
      </c>
    </row>
    <row r="276" spans="1:13" s="3" customFormat="1" x14ac:dyDescent="0.25">
      <c r="A276" s="3" t="s">
        <v>222</v>
      </c>
      <c r="B276" s="38" t="s">
        <v>225</v>
      </c>
      <c r="C276" s="38"/>
      <c r="D276" s="38"/>
      <c r="E276" s="3">
        <v>10</v>
      </c>
      <c r="F276" s="4"/>
      <c r="G276" s="1">
        <f>((Fórmulas!C$6/Fórmulas!D$6)/Fórmulas!E$6)*E276</f>
        <v>24.489795918367349</v>
      </c>
      <c r="H276" s="1">
        <f>G276*Fórmulas!B$9</f>
        <v>8571.4285714285725</v>
      </c>
      <c r="I276" s="7">
        <f t="shared" si="6"/>
        <v>16.666666666666668</v>
      </c>
      <c r="K276" s="1">
        <v>1</v>
      </c>
      <c r="L276" s="1">
        <f>((Fórmulas!C$6/Fórmulas!D$6)/0.7)*K276</f>
        <v>2.4489795918367347</v>
      </c>
      <c r="M276" s="1">
        <f>L276*Fórmulas!D$6</f>
        <v>857.14285714285711</v>
      </c>
    </row>
    <row r="277" spans="1:13" s="3" customFormat="1" x14ac:dyDescent="0.25">
      <c r="A277" s="3" t="s">
        <v>222</v>
      </c>
      <c r="B277" s="38" t="s">
        <v>226</v>
      </c>
      <c r="C277" s="38"/>
      <c r="D277" s="38"/>
      <c r="E277" s="3">
        <v>10</v>
      </c>
      <c r="F277" s="4"/>
      <c r="G277" s="1">
        <f>((Fórmulas!C$6/Fórmulas!D$6)/Fórmulas!E$6)*E277</f>
        <v>24.489795918367349</v>
      </c>
      <c r="H277" s="1">
        <f>G277*Fórmulas!B$9</f>
        <v>8571.4285714285725</v>
      </c>
      <c r="I277" s="7">
        <f t="shared" si="6"/>
        <v>16.666666666666668</v>
      </c>
      <c r="K277" s="1">
        <v>1</v>
      </c>
      <c r="L277" s="1">
        <f>((Fórmulas!C$6/Fórmulas!D$6)/0.7)*K277</f>
        <v>2.4489795918367347</v>
      </c>
      <c r="M277" s="1">
        <f>L277*Fórmulas!D$6</f>
        <v>857.14285714285711</v>
      </c>
    </row>
    <row r="278" spans="1:13" s="3" customFormat="1" x14ac:dyDescent="0.25">
      <c r="A278" s="3" t="s">
        <v>222</v>
      </c>
      <c r="B278" s="38" t="s">
        <v>227</v>
      </c>
      <c r="C278" s="38"/>
      <c r="D278" s="38"/>
      <c r="E278" s="3">
        <v>10</v>
      </c>
      <c r="F278" s="4"/>
      <c r="G278" s="1">
        <f>((Fórmulas!C$6/Fórmulas!D$6)/Fórmulas!E$6)*E278</f>
        <v>24.489795918367349</v>
      </c>
      <c r="H278" s="1">
        <f>G278*Fórmulas!B$9</f>
        <v>8571.4285714285725</v>
      </c>
      <c r="I278" s="7">
        <f t="shared" si="6"/>
        <v>16.666666666666668</v>
      </c>
      <c r="K278" s="1">
        <v>1</v>
      </c>
      <c r="L278" s="1">
        <f>((Fórmulas!C$6/Fórmulas!D$6)/0.7)*K278</f>
        <v>2.4489795918367347</v>
      </c>
      <c r="M278" s="1">
        <f>L278*Fórmulas!D$6</f>
        <v>857.14285714285711</v>
      </c>
    </row>
    <row r="279" spans="1:13" s="3" customFormat="1" x14ac:dyDescent="0.25">
      <c r="B279" s="38"/>
      <c r="C279" s="38"/>
      <c r="D279" s="38"/>
      <c r="E279" s="3">
        <v>0</v>
      </c>
      <c r="F279" s="4"/>
      <c r="G279" s="1">
        <f>((Fórmulas!C$6/Fórmulas!D$6)/Fórmulas!E$6)*E279</f>
        <v>0</v>
      </c>
      <c r="H279" s="1">
        <f>G279*Fórmulas!B$9</f>
        <v>0</v>
      </c>
      <c r="I279" s="7">
        <f t="shared" si="6"/>
        <v>0</v>
      </c>
      <c r="K279" s="1">
        <v>1</v>
      </c>
      <c r="L279" s="1">
        <f>((Fórmulas!C$6/Fórmulas!D$6)/0.7)*K279</f>
        <v>2.4489795918367347</v>
      </c>
      <c r="M279" s="1">
        <f>L279*Fórmulas!D$6</f>
        <v>857.14285714285711</v>
      </c>
    </row>
    <row r="280" spans="1:13" s="3" customFormat="1" x14ac:dyDescent="0.25">
      <c r="B280" s="38"/>
      <c r="C280" s="38"/>
      <c r="D280" s="38"/>
      <c r="E280" s="3">
        <v>0</v>
      </c>
      <c r="F280" s="4"/>
      <c r="G280" s="1">
        <f>((Fórmulas!C$6/Fórmulas!D$6)/Fórmulas!E$6)*E280</f>
        <v>0</v>
      </c>
      <c r="H280" s="1">
        <f>G280*Fórmulas!B$9</f>
        <v>0</v>
      </c>
      <c r="I280" s="7">
        <f t="shared" si="6"/>
        <v>0</v>
      </c>
      <c r="K280" s="1">
        <v>1</v>
      </c>
      <c r="L280" s="1">
        <f>((Fórmulas!C$6/Fórmulas!D$6)/0.7)*K280</f>
        <v>2.4489795918367347</v>
      </c>
      <c r="M280" s="1">
        <f>L280*Fórmulas!D$6</f>
        <v>857.14285714285711</v>
      </c>
    </row>
    <row r="281" spans="1:13" s="3" customFormat="1" x14ac:dyDescent="0.25">
      <c r="B281" s="38"/>
      <c r="C281" s="38"/>
      <c r="D281" s="38"/>
      <c r="E281" s="3">
        <v>0</v>
      </c>
      <c r="F281" s="4"/>
      <c r="G281" s="1">
        <f>((Fórmulas!C$6/Fórmulas!D$6)/Fórmulas!E$6)*E281</f>
        <v>0</v>
      </c>
      <c r="H281" s="1">
        <f>G281*Fórmulas!B$9</f>
        <v>0</v>
      </c>
      <c r="I281" s="7">
        <f t="shared" si="6"/>
        <v>0</v>
      </c>
      <c r="K281" s="1">
        <v>1</v>
      </c>
      <c r="L281" s="1">
        <f>((Fórmulas!C$6/Fórmulas!D$6)/0.7)*K281</f>
        <v>2.4489795918367347</v>
      </c>
      <c r="M281" s="1">
        <f>L281*Fórmulas!D$6</f>
        <v>857.14285714285711</v>
      </c>
    </row>
    <row r="282" spans="1:13" s="3" customFormat="1" x14ac:dyDescent="0.25">
      <c r="B282" s="38"/>
      <c r="C282" s="38"/>
      <c r="D282" s="38"/>
      <c r="E282" s="3">
        <v>0</v>
      </c>
      <c r="F282" s="4"/>
      <c r="G282" s="1">
        <f>((Fórmulas!C$6/Fórmulas!D$6)/Fórmulas!E$6)*E282</f>
        <v>0</v>
      </c>
      <c r="H282" s="1">
        <f>G282*Fórmulas!B$9</f>
        <v>0</v>
      </c>
      <c r="I282" s="7">
        <f t="shared" si="6"/>
        <v>0</v>
      </c>
      <c r="K282" s="1">
        <v>1</v>
      </c>
      <c r="L282" s="1">
        <f>((Fórmulas!C$6/Fórmulas!D$6)/0.7)*K282</f>
        <v>2.4489795918367347</v>
      </c>
      <c r="M282" s="1">
        <f>L282*Fórmulas!D$6</f>
        <v>857.14285714285711</v>
      </c>
    </row>
    <row r="283" spans="1:13" s="3" customFormat="1" x14ac:dyDescent="0.25">
      <c r="B283" s="25"/>
      <c r="C283" s="25"/>
      <c r="D283" s="25"/>
      <c r="E283" s="4">
        <v>0</v>
      </c>
      <c r="F283" s="4"/>
      <c r="G283" s="1">
        <f>((Fórmulas!C$6/Fórmulas!D$6)/Fórmulas!E$6)*E283</f>
        <v>0</v>
      </c>
      <c r="H283" s="1">
        <f>G283*Fórmulas!B$9</f>
        <v>0</v>
      </c>
      <c r="I283" s="7">
        <f t="shared" si="6"/>
        <v>0</v>
      </c>
      <c r="J283" s="4"/>
      <c r="K283" s="1">
        <v>1</v>
      </c>
      <c r="L283" s="1">
        <f>((Fórmulas!C$6/Fórmulas!D$6)/0.7)*K283</f>
        <v>2.4489795918367347</v>
      </c>
      <c r="M283" s="1">
        <f>L283*Fórmulas!D$6</f>
        <v>857.14285714285711</v>
      </c>
    </row>
    <row r="284" spans="1:13" s="3" customFormat="1" x14ac:dyDescent="0.25">
      <c r="B284" s="25"/>
      <c r="C284" s="25"/>
      <c r="D284" s="25"/>
      <c r="E284" s="4">
        <v>0</v>
      </c>
      <c r="F284" s="4"/>
      <c r="G284" s="1">
        <f>((Fórmulas!C$6/Fórmulas!D$6)/Fórmulas!E$6)*E284</f>
        <v>0</v>
      </c>
      <c r="H284" s="1">
        <f>G284*Fórmulas!B$9</f>
        <v>0</v>
      </c>
      <c r="I284" s="7">
        <f t="shared" si="6"/>
        <v>0</v>
      </c>
      <c r="J284" s="4"/>
      <c r="K284" s="1">
        <v>1</v>
      </c>
      <c r="L284" s="1">
        <f>((Fórmulas!C$6/Fórmulas!D$6)/0.7)*K284</f>
        <v>2.4489795918367347</v>
      </c>
      <c r="M284" s="1">
        <f>L284*Fórmulas!D$6</f>
        <v>857.14285714285711</v>
      </c>
    </row>
    <row r="285" spans="1:13" s="3" customFormat="1" x14ac:dyDescent="0.25">
      <c r="A285" s="3" t="s">
        <v>401</v>
      </c>
      <c r="B285" s="25" t="s">
        <v>402</v>
      </c>
      <c r="C285" s="25"/>
      <c r="D285" s="25"/>
      <c r="E285" s="4">
        <v>31.8</v>
      </c>
      <c r="F285" s="4"/>
      <c r="G285" s="1">
        <f>((Fórmulas!C$6/Fórmulas!D$6)/Fórmulas!E$6)*E285</f>
        <v>77.877551020408163</v>
      </c>
      <c r="H285" s="1">
        <f>G285*Fórmulas!B$9</f>
        <v>27257.142857142859</v>
      </c>
      <c r="I285" s="7">
        <f t="shared" si="6"/>
        <v>53</v>
      </c>
      <c r="J285" s="4"/>
      <c r="K285" s="1">
        <v>1</v>
      </c>
      <c r="L285" s="1">
        <f>((Fórmulas!C$6/Fórmulas!D$6)/0.7)*K285</f>
        <v>2.4489795918367347</v>
      </c>
      <c r="M285" s="1">
        <f>L285*Fórmulas!D$6</f>
        <v>857.14285714285711</v>
      </c>
    </row>
    <row r="286" spans="1:13" s="3" customFormat="1" x14ac:dyDescent="0.25">
      <c r="A286" s="4" t="s">
        <v>401</v>
      </c>
      <c r="B286" s="25" t="s">
        <v>403</v>
      </c>
      <c r="C286" s="25"/>
      <c r="D286" s="25"/>
      <c r="E286" s="4">
        <v>31.8</v>
      </c>
      <c r="F286" s="4"/>
      <c r="G286" s="1">
        <f>((Fórmulas!C$6/Fórmulas!D$6)/Fórmulas!E$6)*E286</f>
        <v>77.877551020408163</v>
      </c>
      <c r="H286" s="1">
        <f>G286*Fórmulas!B$9</f>
        <v>27257.142857142859</v>
      </c>
      <c r="I286" s="7">
        <f t="shared" si="6"/>
        <v>53</v>
      </c>
      <c r="J286" s="4"/>
      <c r="K286" s="1">
        <v>1</v>
      </c>
      <c r="L286" s="1">
        <f>((Fórmulas!C$6/Fórmulas!D$6)/0.7)*K286</f>
        <v>2.4489795918367347</v>
      </c>
      <c r="M286" s="1">
        <f>L286*Fórmulas!D$6</f>
        <v>857.14285714285711</v>
      </c>
    </row>
    <row r="287" spans="1:13" s="3" customFormat="1" x14ac:dyDescent="0.25">
      <c r="A287" s="4" t="s">
        <v>401</v>
      </c>
      <c r="B287" s="25" t="s">
        <v>404</v>
      </c>
      <c r="C287" s="25"/>
      <c r="D287" s="25"/>
      <c r="E287" s="4">
        <v>31.8</v>
      </c>
      <c r="F287" s="4"/>
      <c r="G287" s="1">
        <f>((Fórmulas!C$6/Fórmulas!D$6)/Fórmulas!E$6)*E287</f>
        <v>77.877551020408163</v>
      </c>
      <c r="H287" s="1">
        <f>G287*Fórmulas!B$9</f>
        <v>27257.142857142859</v>
      </c>
      <c r="I287" s="7">
        <f t="shared" si="6"/>
        <v>53</v>
      </c>
      <c r="J287" s="4"/>
      <c r="K287" s="1">
        <v>1</v>
      </c>
      <c r="L287" s="1">
        <f>((Fórmulas!C$6/Fórmulas!D$6)/0.7)*K287</f>
        <v>2.4489795918367347</v>
      </c>
      <c r="M287" s="1">
        <f>L287*Fórmulas!D$6</f>
        <v>857.14285714285711</v>
      </c>
    </row>
    <row r="288" spans="1:13" s="3" customFormat="1" x14ac:dyDescent="0.25">
      <c r="A288" s="4" t="s">
        <v>401</v>
      </c>
      <c r="B288" s="25" t="s">
        <v>405</v>
      </c>
      <c r="C288" s="25"/>
      <c r="D288" s="25"/>
      <c r="E288" s="4">
        <v>39.700000000000003</v>
      </c>
      <c r="F288" s="4"/>
      <c r="G288" s="1">
        <f>((Fórmulas!C$6/Fórmulas!D$6)/Fórmulas!E$6)*E288</f>
        <v>97.224489795918373</v>
      </c>
      <c r="H288" s="1">
        <f>G288*Fórmulas!B$9</f>
        <v>34028.571428571428</v>
      </c>
      <c r="I288" s="7">
        <f t="shared" si="6"/>
        <v>66.166666666666671</v>
      </c>
      <c r="J288" s="4"/>
      <c r="K288" s="1">
        <v>1</v>
      </c>
      <c r="L288" s="1">
        <f>((Fórmulas!C$6/Fórmulas!D$6)/0.7)*K288</f>
        <v>2.4489795918367347</v>
      </c>
      <c r="M288" s="1">
        <f>L288*Fórmulas!D$6</f>
        <v>857.14285714285711</v>
      </c>
    </row>
    <row r="289" spans="1:13" s="3" customFormat="1" x14ac:dyDescent="0.25">
      <c r="A289" s="4" t="s">
        <v>401</v>
      </c>
      <c r="B289" s="25" t="s">
        <v>406</v>
      </c>
      <c r="C289" s="25"/>
      <c r="D289" s="25"/>
      <c r="E289" s="4">
        <v>31.8</v>
      </c>
      <c r="F289" s="4"/>
      <c r="G289" s="1">
        <f>((Fórmulas!C$6/Fórmulas!D$6)/Fórmulas!E$6)*E289</f>
        <v>77.877551020408163</v>
      </c>
      <c r="H289" s="1">
        <f>G289*Fórmulas!B$9</f>
        <v>27257.142857142859</v>
      </c>
      <c r="I289" s="7">
        <f t="shared" si="6"/>
        <v>53</v>
      </c>
      <c r="J289" s="4"/>
      <c r="K289" s="1">
        <v>1</v>
      </c>
      <c r="L289" s="1">
        <f>((Fórmulas!C$6/Fórmulas!D$6)/0.7)*K289</f>
        <v>2.4489795918367347</v>
      </c>
      <c r="M289" s="1">
        <f>L289*Fórmulas!D$6</f>
        <v>857.14285714285711</v>
      </c>
    </row>
    <row r="290" spans="1:13" s="4" customFormat="1" x14ac:dyDescent="0.25">
      <c r="A290" s="4" t="s">
        <v>401</v>
      </c>
      <c r="B290" s="25" t="s">
        <v>410</v>
      </c>
      <c r="C290" s="25"/>
      <c r="D290" s="25"/>
      <c r="E290" s="4">
        <v>27.8</v>
      </c>
      <c r="G290" s="1">
        <f>((Fórmulas!C$6/Fórmulas!D$6)/Fórmulas!E$6)*E290</f>
        <v>68.081632653061234</v>
      </c>
      <c r="H290" s="1">
        <f>G290*Fórmulas!B$9</f>
        <v>23828.571428571431</v>
      </c>
      <c r="I290" s="7">
        <f t="shared" si="6"/>
        <v>46.333333333333336</v>
      </c>
      <c r="K290" s="1">
        <v>1</v>
      </c>
      <c r="L290" s="1">
        <f>((Fórmulas!C$6/Fórmulas!D$6)/0.7)*K290</f>
        <v>2.4489795918367347</v>
      </c>
      <c r="M290" s="1">
        <f>L290*Fórmulas!D$6</f>
        <v>857.14285714285711</v>
      </c>
    </row>
    <row r="291" spans="1:13" s="4" customFormat="1" x14ac:dyDescent="0.25">
      <c r="A291" s="4" t="s">
        <v>401</v>
      </c>
      <c r="B291" s="25" t="s">
        <v>411</v>
      </c>
      <c r="C291" s="25"/>
      <c r="D291" s="25"/>
      <c r="E291" s="4">
        <v>27.8</v>
      </c>
      <c r="G291" s="1">
        <f>((Fórmulas!C$6/Fórmulas!D$6)/Fórmulas!E$6)*E291</f>
        <v>68.081632653061234</v>
      </c>
      <c r="H291" s="1">
        <f>G291*Fórmulas!B$9</f>
        <v>23828.571428571431</v>
      </c>
      <c r="I291" s="7">
        <f t="shared" si="6"/>
        <v>46.333333333333336</v>
      </c>
      <c r="K291" s="1">
        <v>1</v>
      </c>
      <c r="L291" s="1">
        <f>((Fórmulas!C$6/Fórmulas!D$6)/0.7)*K291</f>
        <v>2.4489795918367347</v>
      </c>
      <c r="M291" s="1">
        <f>L291*Fórmulas!D$6</f>
        <v>857.14285714285711</v>
      </c>
    </row>
    <row r="292" spans="1:13" s="4" customFormat="1" x14ac:dyDescent="0.25">
      <c r="A292" s="4" t="s">
        <v>401</v>
      </c>
      <c r="B292" s="25" t="s">
        <v>412</v>
      </c>
      <c r="C292" s="25"/>
      <c r="D292" s="25"/>
      <c r="E292" s="4">
        <v>23.8</v>
      </c>
      <c r="G292" s="1">
        <f>((Fórmulas!C$6/Fórmulas!D$6)/Fórmulas!E$6)*E292</f>
        <v>58.285714285714292</v>
      </c>
      <c r="H292" s="1">
        <f>G292*Fórmulas!B$9</f>
        <v>20400.000000000004</v>
      </c>
      <c r="I292" s="7">
        <f t="shared" si="6"/>
        <v>39.666666666666671</v>
      </c>
      <c r="K292" s="1">
        <v>1</v>
      </c>
      <c r="L292" s="1">
        <f>((Fórmulas!C$6/Fórmulas!D$6)/0.7)*K292</f>
        <v>2.4489795918367347</v>
      </c>
      <c r="M292" s="1">
        <f>L292*Fórmulas!D$6</f>
        <v>857.14285714285711</v>
      </c>
    </row>
    <row r="293" spans="1:13" s="4" customFormat="1" x14ac:dyDescent="0.25">
      <c r="A293" s="4" t="s">
        <v>401</v>
      </c>
      <c r="B293" s="25" t="s">
        <v>424</v>
      </c>
      <c r="C293" s="25"/>
      <c r="D293" s="25"/>
      <c r="E293" s="4">
        <v>20.65</v>
      </c>
      <c r="G293" s="1">
        <f>((Fórmulas!C$6/Fórmulas!D$6)/Fórmulas!E$6)*E293</f>
        <v>50.571428571428569</v>
      </c>
      <c r="H293" s="1">
        <f>G293*Fórmulas!B$9</f>
        <v>17700</v>
      </c>
      <c r="I293" s="7">
        <f t="shared" si="6"/>
        <v>34.416666666666664</v>
      </c>
      <c r="K293" s="1">
        <v>1</v>
      </c>
      <c r="L293" s="1">
        <f>((Fórmulas!C$6/Fórmulas!D$6)/0.7)*K293</f>
        <v>2.4489795918367347</v>
      </c>
      <c r="M293" s="1">
        <f>L293*Fórmulas!D$6</f>
        <v>857.14285714285711</v>
      </c>
    </row>
    <row r="294" spans="1:13" s="4" customFormat="1" x14ac:dyDescent="0.25">
      <c r="A294" s="4" t="s">
        <v>401</v>
      </c>
      <c r="B294" s="25" t="s">
        <v>425</v>
      </c>
      <c r="C294" s="25"/>
      <c r="D294" s="25"/>
      <c r="E294" s="4">
        <v>22.25</v>
      </c>
      <c r="G294" s="1">
        <f>((Fórmulas!C$6/Fórmulas!D$6)/Fórmulas!E$6)*E294</f>
        <v>54.489795918367349</v>
      </c>
      <c r="H294" s="1">
        <f>G294*Fórmulas!B$9</f>
        <v>19071.428571428572</v>
      </c>
      <c r="I294" s="7">
        <f t="shared" si="6"/>
        <v>37.083333333333336</v>
      </c>
      <c r="K294" s="1">
        <v>1</v>
      </c>
      <c r="L294" s="1">
        <f>((Fórmulas!C$6/Fórmulas!D$6)/0.7)*K294</f>
        <v>2.4489795918367347</v>
      </c>
      <c r="M294" s="1">
        <f>L294*Fórmulas!D$6</f>
        <v>857.14285714285711</v>
      </c>
    </row>
    <row r="295" spans="1:13" s="4" customFormat="1" x14ac:dyDescent="0.25">
      <c r="A295" s="4" t="s">
        <v>401</v>
      </c>
      <c r="B295" s="25" t="s">
        <v>426</v>
      </c>
      <c r="C295" s="25"/>
      <c r="D295" s="25"/>
      <c r="E295" s="4">
        <v>23.45</v>
      </c>
      <c r="G295" s="1">
        <f>((Fórmulas!C$6/Fórmulas!D$6)/Fórmulas!E$6)*E295</f>
        <v>57.428571428571431</v>
      </c>
      <c r="H295" s="1">
        <f>G295*Fórmulas!B$9</f>
        <v>20100</v>
      </c>
      <c r="I295" s="7">
        <f t="shared" si="6"/>
        <v>39.083333333333336</v>
      </c>
      <c r="K295" s="1">
        <v>1</v>
      </c>
      <c r="L295" s="1">
        <f>((Fórmulas!C$6/Fórmulas!D$6)/0.7)*K295</f>
        <v>2.4489795918367347</v>
      </c>
      <c r="M295" s="1">
        <f>L295*Fórmulas!D$6</f>
        <v>857.14285714285711</v>
      </c>
    </row>
    <row r="296" spans="1:13" s="4" customFormat="1" x14ac:dyDescent="0.25">
      <c r="A296" s="4" t="s">
        <v>401</v>
      </c>
      <c r="B296" s="25" t="s">
        <v>427</v>
      </c>
      <c r="C296" s="25"/>
      <c r="D296" s="25"/>
      <c r="E296" s="4">
        <v>20.65</v>
      </c>
      <c r="G296" s="1">
        <f>((Fórmulas!C$6/Fórmulas!D$6)/Fórmulas!E$6)*E296</f>
        <v>50.571428571428569</v>
      </c>
      <c r="H296" s="1">
        <f>G296*Fórmulas!B$9</f>
        <v>17700</v>
      </c>
      <c r="I296" s="7">
        <f t="shared" si="6"/>
        <v>34.416666666666664</v>
      </c>
      <c r="K296" s="1">
        <v>1</v>
      </c>
      <c r="L296" s="1">
        <f>((Fórmulas!C$6/Fórmulas!D$6)/0.7)*K296</f>
        <v>2.4489795918367347</v>
      </c>
      <c r="M296" s="1">
        <f>L296*Fórmulas!D$6</f>
        <v>857.14285714285711</v>
      </c>
    </row>
    <row r="297" spans="1:13" s="4" customFormat="1" x14ac:dyDescent="0.25">
      <c r="B297" s="25"/>
      <c r="C297" s="25"/>
      <c r="D297" s="25"/>
      <c r="E297" s="4">
        <v>0</v>
      </c>
      <c r="G297" s="1">
        <f>((Fórmulas!C$6/Fórmulas!D$6)/Fórmulas!E$6)*E297</f>
        <v>0</v>
      </c>
      <c r="H297" s="1">
        <f>G297*Fórmulas!B$9</f>
        <v>0</v>
      </c>
      <c r="I297" s="7">
        <f t="shared" si="6"/>
        <v>0</v>
      </c>
      <c r="K297" s="1">
        <v>1</v>
      </c>
      <c r="L297" s="1">
        <f>((Fórmulas!C$6/Fórmulas!D$6)/0.7)*K297</f>
        <v>2.4489795918367347</v>
      </c>
      <c r="M297" s="1">
        <f>L297*Fórmulas!D$6</f>
        <v>857.14285714285711</v>
      </c>
    </row>
    <row r="298" spans="1:13" s="4" customFormat="1" x14ac:dyDescent="0.25">
      <c r="B298" s="25"/>
      <c r="C298" s="25"/>
      <c r="D298" s="25"/>
      <c r="E298" s="4">
        <v>0</v>
      </c>
      <c r="G298" s="1">
        <f>((Fórmulas!C$6/Fórmulas!D$6)/Fórmulas!E$6)*E298</f>
        <v>0</v>
      </c>
      <c r="H298" s="1">
        <f>G298*Fórmulas!B$9</f>
        <v>0</v>
      </c>
      <c r="I298" s="7">
        <f t="shared" si="6"/>
        <v>0</v>
      </c>
      <c r="K298" s="1">
        <v>1</v>
      </c>
      <c r="L298" s="1">
        <f>((Fórmulas!C$6/Fórmulas!D$6)/0.7)*K298</f>
        <v>2.4489795918367347</v>
      </c>
      <c r="M298" s="1">
        <f>L298*Fórmulas!D$6</f>
        <v>857.14285714285711</v>
      </c>
    </row>
    <row r="299" spans="1:13" s="4" customFormat="1" x14ac:dyDescent="0.25">
      <c r="B299" s="25"/>
      <c r="C299" s="25"/>
      <c r="D299" s="25"/>
      <c r="E299" s="4">
        <v>0</v>
      </c>
      <c r="G299" s="1">
        <f>((Fórmulas!C$6/Fórmulas!D$6)/Fórmulas!E$6)*E299</f>
        <v>0</v>
      </c>
      <c r="H299" s="1">
        <f>G299*Fórmulas!B$9</f>
        <v>0</v>
      </c>
      <c r="I299" s="7">
        <f t="shared" si="6"/>
        <v>0</v>
      </c>
      <c r="K299" s="1">
        <v>1</v>
      </c>
      <c r="L299" s="1">
        <f>((Fórmulas!C$6/Fórmulas!D$6)/0.7)*K299</f>
        <v>2.4489795918367347</v>
      </c>
      <c r="M299" s="1">
        <f>L299*Fórmulas!D$6</f>
        <v>857.14285714285711</v>
      </c>
    </row>
    <row r="300" spans="1:13" s="4" customFormat="1" x14ac:dyDescent="0.25">
      <c r="B300" s="25"/>
      <c r="C300" s="25"/>
      <c r="D300" s="25"/>
      <c r="E300" s="4">
        <v>0</v>
      </c>
      <c r="G300" s="1">
        <f>((Fórmulas!C$6/Fórmulas!D$6)/Fórmulas!E$6)*E300</f>
        <v>0</v>
      </c>
      <c r="H300" s="1">
        <f>G300*Fórmulas!B$9</f>
        <v>0</v>
      </c>
      <c r="I300" s="7">
        <f t="shared" si="6"/>
        <v>0</v>
      </c>
      <c r="K300" s="1">
        <v>1</v>
      </c>
      <c r="L300" s="1">
        <f>((Fórmulas!C$6/Fórmulas!D$6)/0.7)*K300</f>
        <v>2.4489795918367347</v>
      </c>
      <c r="M300" s="1">
        <f>L300*Fórmulas!D$6</f>
        <v>857.14285714285711</v>
      </c>
    </row>
    <row r="301" spans="1:13" s="4" customFormat="1" x14ac:dyDescent="0.25">
      <c r="B301" s="25"/>
      <c r="C301" s="25"/>
      <c r="D301" s="25"/>
      <c r="E301" s="4">
        <v>0</v>
      </c>
      <c r="G301" s="1">
        <f>((Fórmulas!C$6/Fórmulas!D$6)/Fórmulas!E$6)*E301</f>
        <v>0</v>
      </c>
      <c r="H301" s="1">
        <f>G301*Fórmulas!B$9</f>
        <v>0</v>
      </c>
      <c r="I301" s="7">
        <f t="shared" si="6"/>
        <v>0</v>
      </c>
      <c r="K301" s="1">
        <v>1</v>
      </c>
      <c r="L301" s="1">
        <f>((Fórmulas!C$6/Fórmulas!D$6)/0.7)*K301</f>
        <v>2.4489795918367347</v>
      </c>
      <c r="M301" s="1">
        <f>L301*Fórmulas!D$6</f>
        <v>857.14285714285711</v>
      </c>
    </row>
    <row r="302" spans="1:13" s="4" customFormat="1" x14ac:dyDescent="0.25">
      <c r="B302" s="25"/>
      <c r="C302" s="25"/>
      <c r="D302" s="25"/>
      <c r="E302" s="4">
        <v>0</v>
      </c>
      <c r="G302" s="1">
        <f>((Fórmulas!C$6/Fórmulas!D$6)/Fórmulas!E$6)*E302</f>
        <v>0</v>
      </c>
      <c r="H302" s="1">
        <f>G302*Fórmulas!B$9</f>
        <v>0</v>
      </c>
      <c r="I302" s="7">
        <f t="shared" si="6"/>
        <v>0</v>
      </c>
      <c r="K302" s="1">
        <v>1</v>
      </c>
      <c r="L302" s="1">
        <f>((Fórmulas!C$6/Fórmulas!D$6)/0.7)*K302</f>
        <v>2.4489795918367347</v>
      </c>
      <c r="M302" s="1">
        <f>L302*Fórmulas!D$6</f>
        <v>857.14285714285711</v>
      </c>
    </row>
    <row r="303" spans="1:13" s="4" customFormat="1" x14ac:dyDescent="0.25">
      <c r="B303" s="25"/>
      <c r="C303" s="25"/>
      <c r="D303" s="25"/>
      <c r="E303" s="4">
        <v>0</v>
      </c>
      <c r="G303" s="1">
        <f>((Fórmulas!C$6/Fórmulas!D$6)/Fórmulas!E$6)*E303</f>
        <v>0</v>
      </c>
      <c r="H303" s="1">
        <f>G303*Fórmulas!B$9</f>
        <v>0</v>
      </c>
      <c r="I303" s="7">
        <f t="shared" si="6"/>
        <v>0</v>
      </c>
      <c r="K303" s="1">
        <v>1</v>
      </c>
      <c r="L303" s="1">
        <f>((Fórmulas!C$6/Fórmulas!D$6)/0.7)*K303</f>
        <v>2.4489795918367347</v>
      </c>
      <c r="M303" s="1">
        <f>L303*Fórmulas!D$6</f>
        <v>857.14285714285711</v>
      </c>
    </row>
    <row r="304" spans="1:13" s="4" customFormat="1" x14ac:dyDescent="0.25">
      <c r="B304" s="25"/>
      <c r="C304" s="25"/>
      <c r="D304" s="25"/>
      <c r="E304" s="4">
        <v>0</v>
      </c>
      <c r="G304" s="1">
        <f>((Fórmulas!C$6/Fórmulas!D$6)/Fórmulas!E$6)*E304</f>
        <v>0</v>
      </c>
      <c r="H304" s="1">
        <f>G304*Fórmulas!B$9</f>
        <v>0</v>
      </c>
      <c r="I304" s="7">
        <f t="shared" si="6"/>
        <v>0</v>
      </c>
      <c r="K304" s="1">
        <v>1</v>
      </c>
      <c r="L304" s="1">
        <f>((Fórmulas!C$6/Fórmulas!D$6)/0.7)*K304</f>
        <v>2.4489795918367347</v>
      </c>
      <c r="M304" s="1">
        <f>L304*Fórmulas!D$6</f>
        <v>857.14285714285711</v>
      </c>
    </row>
    <row r="305" spans="1:13" s="4" customFormat="1" x14ac:dyDescent="0.25">
      <c r="A305" s="9"/>
      <c r="B305" s="25"/>
      <c r="C305" s="25"/>
      <c r="D305" s="25"/>
      <c r="E305" s="9">
        <v>0</v>
      </c>
      <c r="F305" s="9"/>
      <c r="G305" s="1">
        <f>((Fórmulas!C$6/Fórmulas!D$6)/Fórmulas!E$6)*E305</f>
        <v>0</v>
      </c>
      <c r="H305" s="1">
        <f>G305*Fórmulas!B$9</f>
        <v>0</v>
      </c>
      <c r="I305" s="7">
        <f t="shared" si="6"/>
        <v>0</v>
      </c>
      <c r="J305" s="9"/>
      <c r="K305" s="1">
        <v>1</v>
      </c>
      <c r="L305" s="1">
        <f>((Fórmulas!C$6/Fórmulas!D$6)/0.7)*K305</f>
        <v>2.4489795918367347</v>
      </c>
      <c r="M305" s="1">
        <f>L305*Fórmulas!D$6</f>
        <v>857.14285714285711</v>
      </c>
    </row>
    <row r="306" spans="1:13" s="4" customFormat="1" x14ac:dyDescent="0.25">
      <c r="A306" s="9"/>
      <c r="B306" s="25"/>
      <c r="C306" s="25"/>
      <c r="D306" s="25"/>
      <c r="E306" s="9">
        <v>0</v>
      </c>
      <c r="F306" s="9"/>
      <c r="G306" s="1">
        <f>((Fórmulas!C$6/Fórmulas!D$6)/Fórmulas!E$6)*E306</f>
        <v>0</v>
      </c>
      <c r="H306" s="1">
        <f>G306*Fórmulas!B$9</f>
        <v>0</v>
      </c>
      <c r="I306" s="7">
        <f t="shared" si="6"/>
        <v>0</v>
      </c>
      <c r="J306" s="9"/>
      <c r="K306" s="1">
        <v>1</v>
      </c>
      <c r="L306" s="1">
        <f>((Fórmulas!C$6/Fórmulas!D$6)/0.7)*K306</f>
        <v>2.4489795918367347</v>
      </c>
      <c r="M306" s="1">
        <f>L306*Fórmulas!D$6</f>
        <v>857.14285714285711</v>
      </c>
    </row>
    <row r="307" spans="1:13" s="4" customFormat="1" x14ac:dyDescent="0.25">
      <c r="A307" s="9"/>
      <c r="B307" s="25"/>
      <c r="C307" s="25"/>
      <c r="D307" s="25"/>
      <c r="E307" s="9">
        <v>0</v>
      </c>
      <c r="F307" s="9"/>
      <c r="G307" s="1">
        <f>((Fórmulas!C$6/Fórmulas!D$6)/Fórmulas!E$6)*E307</f>
        <v>0</v>
      </c>
      <c r="H307" s="1">
        <f>G307*Fórmulas!B$9</f>
        <v>0</v>
      </c>
      <c r="I307" s="7">
        <f t="shared" si="6"/>
        <v>0</v>
      </c>
      <c r="J307" s="9"/>
      <c r="K307" s="1">
        <v>1</v>
      </c>
      <c r="L307" s="1">
        <f>((Fórmulas!C$6/Fórmulas!D$6)/0.7)*K307</f>
        <v>2.4489795918367347</v>
      </c>
      <c r="M307" s="1">
        <f>L307*Fórmulas!D$6</f>
        <v>857.14285714285711</v>
      </c>
    </row>
    <row r="308" spans="1:13" s="4" customFormat="1" x14ac:dyDescent="0.25">
      <c r="A308" s="9"/>
      <c r="B308" s="25"/>
      <c r="C308" s="25"/>
      <c r="D308" s="25"/>
      <c r="E308" s="9">
        <v>0</v>
      </c>
      <c r="F308" s="9"/>
      <c r="G308" s="1">
        <f>((Fórmulas!C$6/Fórmulas!D$6)/Fórmulas!E$6)*E308</f>
        <v>0</v>
      </c>
      <c r="H308" s="1">
        <f>G308*Fórmulas!B$9</f>
        <v>0</v>
      </c>
      <c r="I308" s="7">
        <f t="shared" si="6"/>
        <v>0</v>
      </c>
      <c r="J308" s="9"/>
      <c r="K308" s="1">
        <v>1</v>
      </c>
      <c r="L308" s="1">
        <f>((Fórmulas!C$6/Fórmulas!D$6)/0.7)*K308</f>
        <v>2.4489795918367347</v>
      </c>
      <c r="M308" s="1">
        <f>L308*Fórmulas!D$6</f>
        <v>857.14285714285711</v>
      </c>
    </row>
    <row r="309" spans="1:13" s="4" customFormat="1" x14ac:dyDescent="0.25">
      <c r="A309" s="9"/>
      <c r="B309" s="25"/>
      <c r="C309" s="25"/>
      <c r="D309" s="25"/>
      <c r="E309" s="9">
        <v>0</v>
      </c>
      <c r="F309" s="9"/>
      <c r="G309" s="1">
        <f>((Fórmulas!C$6/Fórmulas!D$6)/Fórmulas!E$6)*E309</f>
        <v>0</v>
      </c>
      <c r="H309" s="1">
        <f>G309*Fórmulas!B$9</f>
        <v>0</v>
      </c>
      <c r="I309" s="7">
        <f t="shared" si="6"/>
        <v>0</v>
      </c>
      <c r="J309" s="9"/>
      <c r="K309" s="1">
        <v>1</v>
      </c>
      <c r="L309" s="1">
        <f>((Fórmulas!C$6/Fórmulas!D$6)/0.7)*K309</f>
        <v>2.4489795918367347</v>
      </c>
      <c r="M309" s="1">
        <f>L309*Fórmulas!D$6</f>
        <v>857.14285714285711</v>
      </c>
    </row>
    <row r="310" spans="1:13" s="4" customFormat="1" x14ac:dyDescent="0.25">
      <c r="A310" s="9"/>
      <c r="B310" s="25"/>
      <c r="C310" s="25"/>
      <c r="D310" s="25"/>
      <c r="E310" s="9">
        <v>0</v>
      </c>
      <c r="F310" s="9"/>
      <c r="G310" s="1">
        <f>((Fórmulas!C$6/Fórmulas!D$6)/Fórmulas!E$6)*E310</f>
        <v>0</v>
      </c>
      <c r="H310" s="1">
        <f>G310*Fórmulas!B$9</f>
        <v>0</v>
      </c>
      <c r="I310" s="7">
        <f t="shared" si="6"/>
        <v>0</v>
      </c>
      <c r="J310" s="9"/>
      <c r="K310" s="1">
        <v>1</v>
      </c>
      <c r="L310" s="1">
        <f>((Fórmulas!C$6/Fórmulas!D$6)/0.7)*K310</f>
        <v>2.4489795918367347</v>
      </c>
      <c r="M310" s="1">
        <f>L310*Fórmulas!D$6</f>
        <v>857.14285714285711</v>
      </c>
    </row>
    <row r="311" spans="1:13" s="4" customFormat="1" x14ac:dyDescent="0.25">
      <c r="A311" s="9"/>
      <c r="B311" s="25"/>
      <c r="C311" s="25"/>
      <c r="D311" s="25"/>
      <c r="E311" s="9">
        <v>0</v>
      </c>
      <c r="F311" s="9"/>
      <c r="G311" s="1">
        <f>((Fórmulas!C$6/Fórmulas!D$6)/Fórmulas!E$6)*E311</f>
        <v>0</v>
      </c>
      <c r="H311" s="1">
        <f>G311*Fórmulas!B$9</f>
        <v>0</v>
      </c>
      <c r="I311" s="7">
        <f t="shared" si="6"/>
        <v>0</v>
      </c>
      <c r="J311" s="9"/>
      <c r="K311" s="1">
        <v>1</v>
      </c>
      <c r="L311" s="1">
        <f>((Fórmulas!C$6/Fórmulas!D$6)/0.7)*K311</f>
        <v>2.4489795918367347</v>
      </c>
      <c r="M311" s="1">
        <f>L311*Fórmulas!D$6</f>
        <v>857.14285714285711</v>
      </c>
    </row>
    <row r="312" spans="1:13" s="4" customFormat="1" x14ac:dyDescent="0.25">
      <c r="A312" s="9"/>
      <c r="B312" s="25"/>
      <c r="C312" s="25"/>
      <c r="D312" s="25"/>
      <c r="E312" s="9">
        <v>0</v>
      </c>
      <c r="F312" s="9"/>
      <c r="G312" s="1">
        <f>((Fórmulas!C$6/Fórmulas!D$6)/Fórmulas!E$6)*E312</f>
        <v>0</v>
      </c>
      <c r="H312" s="1">
        <f>G312*Fórmulas!B$9</f>
        <v>0</v>
      </c>
      <c r="I312" s="7">
        <f t="shared" si="6"/>
        <v>0</v>
      </c>
      <c r="J312" s="9"/>
      <c r="K312" s="1">
        <v>1</v>
      </c>
      <c r="L312" s="1">
        <f>((Fórmulas!C$6/Fórmulas!D$6)/0.7)*K312</f>
        <v>2.4489795918367347</v>
      </c>
      <c r="M312" s="1">
        <f>L312*Fórmulas!D$6</f>
        <v>857.14285714285711</v>
      </c>
    </row>
    <row r="313" spans="1:13" s="4" customFormat="1" x14ac:dyDescent="0.25">
      <c r="A313" s="9"/>
      <c r="B313" s="25"/>
      <c r="C313" s="25"/>
      <c r="D313" s="25"/>
      <c r="E313" s="9">
        <v>0</v>
      </c>
      <c r="F313" s="9"/>
      <c r="G313" s="1">
        <f>((Fórmulas!C$6/Fórmulas!D$6)/Fórmulas!E$6)*E313</f>
        <v>0</v>
      </c>
      <c r="H313" s="1">
        <f>G313*Fórmulas!B$9</f>
        <v>0</v>
      </c>
      <c r="I313" s="7">
        <f t="shared" si="6"/>
        <v>0</v>
      </c>
      <c r="J313" s="9"/>
      <c r="K313" s="1">
        <v>1</v>
      </c>
      <c r="L313" s="1">
        <f>((Fórmulas!C$6/Fórmulas!D$6)/0.7)*K313</f>
        <v>2.4489795918367347</v>
      </c>
      <c r="M313" s="1">
        <f>L313*Fórmulas!D$6</f>
        <v>857.14285714285711</v>
      </c>
    </row>
    <row r="314" spans="1:13" s="4" customFormat="1" x14ac:dyDescent="0.25">
      <c r="A314" s="9"/>
      <c r="B314" s="25"/>
      <c r="C314" s="25"/>
      <c r="D314" s="25"/>
      <c r="E314" s="9">
        <v>0</v>
      </c>
      <c r="F314" s="9"/>
      <c r="G314" s="1">
        <f>((Fórmulas!C$6/Fórmulas!D$6)/Fórmulas!E$6)*E314</f>
        <v>0</v>
      </c>
      <c r="H314" s="1">
        <f>G314*Fórmulas!B$9</f>
        <v>0</v>
      </c>
      <c r="I314" s="7">
        <f t="shared" si="6"/>
        <v>0</v>
      </c>
      <c r="J314" s="9"/>
      <c r="K314" s="1">
        <v>1</v>
      </c>
      <c r="L314" s="1">
        <f>((Fórmulas!C$6/Fórmulas!D$6)/0.7)*K314</f>
        <v>2.4489795918367347</v>
      </c>
      <c r="M314" s="1">
        <f>L314*Fórmulas!D$6</f>
        <v>857.14285714285711</v>
      </c>
    </row>
    <row r="315" spans="1:13" s="4" customFormat="1" x14ac:dyDescent="0.25">
      <c r="A315" s="9"/>
      <c r="B315" s="25"/>
      <c r="C315" s="25"/>
      <c r="D315" s="25"/>
      <c r="E315" s="9">
        <v>0</v>
      </c>
      <c r="F315" s="9"/>
      <c r="G315" s="1">
        <f>((Fórmulas!C$6/Fórmulas!D$6)/Fórmulas!E$6)*E315</f>
        <v>0</v>
      </c>
      <c r="H315" s="1">
        <f>G315*Fórmulas!B$9</f>
        <v>0</v>
      </c>
      <c r="I315" s="7">
        <f t="shared" si="6"/>
        <v>0</v>
      </c>
      <c r="J315" s="9"/>
      <c r="K315" s="1">
        <v>1</v>
      </c>
      <c r="L315" s="1">
        <f>((Fórmulas!C$6/Fórmulas!D$6)/0.7)*K315</f>
        <v>2.4489795918367347</v>
      </c>
      <c r="M315" s="1">
        <f>L315*Fórmulas!D$6</f>
        <v>857.14285714285711</v>
      </c>
    </row>
    <row r="316" spans="1:13" s="4" customFormat="1" x14ac:dyDescent="0.25">
      <c r="A316" s="9"/>
      <c r="B316" s="25"/>
      <c r="C316" s="25"/>
      <c r="D316" s="25"/>
      <c r="E316" s="9">
        <v>0</v>
      </c>
      <c r="F316" s="9"/>
      <c r="G316" s="1">
        <f>((Fórmulas!C$6/Fórmulas!D$6)/Fórmulas!E$6)*E316</f>
        <v>0</v>
      </c>
      <c r="H316" s="1">
        <f>G316*Fórmulas!B$9</f>
        <v>0</v>
      </c>
      <c r="I316" s="7">
        <f t="shared" si="6"/>
        <v>0</v>
      </c>
      <c r="J316" s="9"/>
      <c r="K316" s="1">
        <v>1</v>
      </c>
      <c r="L316" s="1">
        <f>((Fórmulas!C$6/Fórmulas!D$6)/0.7)*K316</f>
        <v>2.4489795918367347</v>
      </c>
      <c r="M316" s="1">
        <f>L316*Fórmulas!D$6</f>
        <v>857.14285714285711</v>
      </c>
    </row>
    <row r="317" spans="1:13" s="4" customFormat="1" x14ac:dyDescent="0.25">
      <c r="A317" s="9"/>
      <c r="B317" s="25"/>
      <c r="C317" s="25"/>
      <c r="D317" s="25"/>
      <c r="E317" s="9">
        <v>0</v>
      </c>
      <c r="F317" s="9"/>
      <c r="G317" s="1">
        <f>((Fórmulas!C$6/Fórmulas!D$6)/Fórmulas!E$6)*E317</f>
        <v>0</v>
      </c>
      <c r="H317" s="1">
        <f>G317*Fórmulas!B$9</f>
        <v>0</v>
      </c>
      <c r="I317" s="7">
        <f t="shared" si="6"/>
        <v>0</v>
      </c>
      <c r="J317" s="9"/>
      <c r="K317" s="1">
        <v>1</v>
      </c>
      <c r="L317" s="1">
        <f>((Fórmulas!C$6/Fórmulas!D$6)/0.7)*K317</f>
        <v>2.4489795918367347</v>
      </c>
      <c r="M317" s="1">
        <f>L317*Fórmulas!D$6</f>
        <v>857.14285714285711</v>
      </c>
    </row>
    <row r="318" spans="1:13" s="4" customFormat="1" x14ac:dyDescent="0.25">
      <c r="B318" s="25"/>
      <c r="C318" s="25"/>
      <c r="D318" s="25"/>
      <c r="E318" s="4">
        <v>0</v>
      </c>
      <c r="G318" s="1">
        <f>((Fórmulas!C$6/Fórmulas!D$6)/Fórmulas!E$6)*E318</f>
        <v>0</v>
      </c>
      <c r="H318" s="1">
        <f>G318*Fórmulas!B$9</f>
        <v>0</v>
      </c>
      <c r="I318" s="7">
        <f t="shared" si="6"/>
        <v>0</v>
      </c>
      <c r="K318" s="1">
        <v>1</v>
      </c>
      <c r="L318" s="1">
        <f>((Fórmulas!C$6/Fórmulas!D$6)/0.7)*K318</f>
        <v>2.4489795918367347</v>
      </c>
      <c r="M318" s="1">
        <f>L318*Fórmulas!D$6</f>
        <v>857.14285714285711</v>
      </c>
    </row>
    <row r="319" spans="1:13" s="4" customFormat="1" x14ac:dyDescent="0.25">
      <c r="A319" s="9"/>
      <c r="B319" s="25"/>
      <c r="C319" s="25"/>
      <c r="D319" s="25"/>
      <c r="E319" s="9">
        <v>0</v>
      </c>
      <c r="F319" s="9"/>
      <c r="G319" s="1">
        <f>((Fórmulas!C$6/Fórmulas!D$6)/Fórmulas!E$6)*E319</f>
        <v>0</v>
      </c>
      <c r="H319" s="1">
        <f>G319*Fórmulas!B$9</f>
        <v>0</v>
      </c>
      <c r="I319" s="7">
        <f t="shared" si="6"/>
        <v>0</v>
      </c>
      <c r="J319" s="9"/>
      <c r="K319" s="1">
        <v>1</v>
      </c>
      <c r="L319" s="1">
        <f>((Fórmulas!C$6/Fórmulas!D$6)/0.7)*K319</f>
        <v>2.4489795918367347</v>
      </c>
      <c r="M319" s="1">
        <f>L319*Fórmulas!D$6</f>
        <v>857.14285714285711</v>
      </c>
    </row>
    <row r="320" spans="1:13" s="4" customFormat="1" x14ac:dyDescent="0.25">
      <c r="A320" s="9"/>
      <c r="B320" s="25"/>
      <c r="C320" s="25"/>
      <c r="D320" s="25"/>
      <c r="E320" s="9">
        <v>0</v>
      </c>
      <c r="F320" s="9"/>
      <c r="G320" s="1">
        <f>((Fórmulas!C$6/Fórmulas!D$6)/Fórmulas!E$6)*E320</f>
        <v>0</v>
      </c>
      <c r="H320" s="1">
        <f>G320*Fórmulas!B$9</f>
        <v>0</v>
      </c>
      <c r="I320" s="7">
        <f t="shared" si="6"/>
        <v>0</v>
      </c>
      <c r="J320" s="9"/>
      <c r="K320" s="1">
        <v>1</v>
      </c>
      <c r="L320" s="1">
        <f>((Fórmulas!C$6/Fórmulas!D$6)/0.7)*K320</f>
        <v>2.4489795918367347</v>
      </c>
      <c r="M320" s="1">
        <f>L320*Fórmulas!D$6</f>
        <v>857.14285714285711</v>
      </c>
    </row>
    <row r="321" spans="1:13" s="4" customFormat="1" x14ac:dyDescent="0.25">
      <c r="A321" s="9"/>
      <c r="B321" s="25"/>
      <c r="C321" s="25"/>
      <c r="D321" s="25"/>
      <c r="E321" s="9">
        <v>0</v>
      </c>
      <c r="F321" s="9"/>
      <c r="G321" s="1">
        <f>((Fórmulas!C$6/Fórmulas!D$6)/Fórmulas!E$6)*E321</f>
        <v>0</v>
      </c>
      <c r="H321" s="1">
        <f>G321*Fórmulas!B$9</f>
        <v>0</v>
      </c>
      <c r="I321" s="7">
        <f t="shared" si="6"/>
        <v>0</v>
      </c>
      <c r="J321" s="9"/>
      <c r="K321" s="1">
        <v>1</v>
      </c>
      <c r="L321" s="1">
        <f>((Fórmulas!C$6/Fórmulas!D$6)/0.7)*K321</f>
        <v>2.4489795918367347</v>
      </c>
      <c r="M321" s="1">
        <f>L321*Fórmulas!D$6</f>
        <v>857.14285714285711</v>
      </c>
    </row>
    <row r="322" spans="1:13" s="4" customFormat="1" x14ac:dyDescent="0.25">
      <c r="A322" s="9"/>
      <c r="B322" s="25"/>
      <c r="C322" s="25"/>
      <c r="D322" s="25"/>
      <c r="E322" s="9">
        <v>0</v>
      </c>
      <c r="F322" s="9"/>
      <c r="G322" s="1">
        <f>((Fórmulas!C$6/Fórmulas!D$6)/Fórmulas!E$6)*E322</f>
        <v>0</v>
      </c>
      <c r="H322" s="1">
        <f>G322*Fórmulas!B$9</f>
        <v>0</v>
      </c>
      <c r="I322" s="7">
        <f t="shared" si="6"/>
        <v>0</v>
      </c>
      <c r="J322" s="9"/>
      <c r="K322" s="1">
        <v>1</v>
      </c>
      <c r="L322" s="1">
        <f>((Fórmulas!C$6/Fórmulas!D$6)/0.7)*K322</f>
        <v>2.4489795918367347</v>
      </c>
      <c r="M322" s="1">
        <f>L322*Fórmulas!D$6</f>
        <v>857.14285714285711</v>
      </c>
    </row>
    <row r="323" spans="1:13" s="4" customFormat="1" x14ac:dyDescent="0.25">
      <c r="B323" s="25"/>
      <c r="C323" s="25"/>
      <c r="D323" s="25"/>
      <c r="E323" s="4">
        <v>0</v>
      </c>
      <c r="G323" s="1">
        <f>((Fórmulas!C$6/Fórmulas!D$6)/Fórmulas!E$6)*E323</f>
        <v>0</v>
      </c>
      <c r="H323" s="1">
        <f>G323*Fórmulas!B$9</f>
        <v>0</v>
      </c>
      <c r="I323" s="7">
        <f t="shared" si="6"/>
        <v>0</v>
      </c>
      <c r="K323" s="1">
        <v>1</v>
      </c>
      <c r="L323" s="1">
        <f>((Fórmulas!C$6/Fórmulas!D$6)/0.7)*K323</f>
        <v>2.4489795918367347</v>
      </c>
      <c r="M323" s="1">
        <f>L323*Fórmulas!D$6</f>
        <v>857.14285714285711</v>
      </c>
    </row>
    <row r="324" spans="1:13" s="4" customFormat="1" x14ac:dyDescent="0.25">
      <c r="B324" s="25"/>
      <c r="C324" s="25"/>
      <c r="D324" s="25"/>
      <c r="E324" s="4">
        <v>0</v>
      </c>
      <c r="G324" s="1">
        <f>((Fórmulas!C$6/Fórmulas!D$6)/Fórmulas!E$6)*E324</f>
        <v>0</v>
      </c>
      <c r="H324" s="1">
        <f>G324*Fórmulas!B$9</f>
        <v>0</v>
      </c>
      <c r="I324" s="7">
        <f t="shared" si="6"/>
        <v>0</v>
      </c>
      <c r="K324" s="1">
        <v>1</v>
      </c>
      <c r="L324" s="1">
        <f>((Fórmulas!C$6/Fórmulas!D$6)/0.7)*K324</f>
        <v>2.4489795918367347</v>
      </c>
      <c r="M324" s="1">
        <f>L324*Fórmulas!D$6</f>
        <v>857.14285714285711</v>
      </c>
    </row>
    <row r="325" spans="1:13" s="4" customFormat="1" x14ac:dyDescent="0.25">
      <c r="B325" s="25"/>
      <c r="C325" s="25"/>
      <c r="D325" s="25"/>
      <c r="E325" s="4">
        <v>0</v>
      </c>
      <c r="G325" s="1">
        <f>((Fórmulas!C$6/Fórmulas!D$6)/Fórmulas!E$6)*E325</f>
        <v>0</v>
      </c>
      <c r="H325" s="1">
        <f>G325*Fórmulas!B$9</f>
        <v>0</v>
      </c>
      <c r="I325" s="7">
        <f t="shared" si="6"/>
        <v>0</v>
      </c>
      <c r="K325" s="1">
        <v>1</v>
      </c>
      <c r="L325" s="1">
        <f>((Fórmulas!C$6/Fórmulas!D$6)/0.7)*K325</f>
        <v>2.4489795918367347</v>
      </c>
      <c r="M325" s="1">
        <f>L325*Fórmulas!D$6</f>
        <v>857.14285714285711</v>
      </c>
    </row>
    <row r="326" spans="1:13" x14ac:dyDescent="0.25">
      <c r="A326" s="3"/>
      <c r="B326" s="25"/>
      <c r="C326" s="25"/>
      <c r="D326" s="25"/>
      <c r="E326" s="3"/>
      <c r="G326" s="1">
        <f>((Fórmulas!C$6/Fórmulas!D$6)/Fórmulas!E$6)*E326</f>
        <v>0</v>
      </c>
      <c r="H326" s="1">
        <f>G326*Fórmulas!B$9</f>
        <v>0</v>
      </c>
      <c r="I326" s="7">
        <f t="shared" si="6"/>
        <v>0</v>
      </c>
      <c r="J326" s="3"/>
      <c r="K326" s="1"/>
      <c r="L326" s="1"/>
      <c r="M326" s="1"/>
    </row>
    <row r="327" spans="1:13" x14ac:dyDescent="0.25">
      <c r="B327" s="28" t="s">
        <v>695</v>
      </c>
      <c r="C327" s="28"/>
      <c r="D327" s="28"/>
      <c r="G327" s="1">
        <f>((Fórmulas!C$6/Fórmulas!D$6)/Fórmulas!E$6)*E327</f>
        <v>0</v>
      </c>
      <c r="H327" s="1">
        <f>G327*Fórmulas!B$9</f>
        <v>0</v>
      </c>
      <c r="I327" s="7">
        <f t="shared" si="6"/>
        <v>0</v>
      </c>
      <c r="K327" s="1"/>
      <c r="L327" s="1"/>
      <c r="M327" s="1"/>
    </row>
    <row r="328" spans="1:13" s="9" customFormat="1" x14ac:dyDescent="0.25">
      <c r="A328" s="9" t="s">
        <v>180</v>
      </c>
      <c r="B328" s="25" t="s">
        <v>536</v>
      </c>
      <c r="C328" s="25"/>
      <c r="D328" s="25"/>
      <c r="E328" s="9">
        <v>5.35</v>
      </c>
      <c r="G328" s="1">
        <f>((Fórmulas!C$6/Fórmulas!D$6)/Fórmulas!E$6)*E328</f>
        <v>13.102040816326531</v>
      </c>
      <c r="H328" s="1">
        <f>G328*Fórmulas!B$9</f>
        <v>4585.7142857142853</v>
      </c>
      <c r="I328" s="7">
        <f t="shared" si="6"/>
        <v>8.9166666666666661</v>
      </c>
      <c r="K328" s="1">
        <v>1</v>
      </c>
      <c r="L328" s="1">
        <f>((Fórmulas!C$6/Fórmulas!D$6)/0.7)*K328</f>
        <v>2.4489795918367347</v>
      </c>
      <c r="M328" s="1">
        <f>L328*Fórmulas!D$6</f>
        <v>857.14285714285711</v>
      </c>
    </row>
    <row r="329" spans="1:13" s="9" customFormat="1" x14ac:dyDescent="0.25">
      <c r="B329" s="25"/>
      <c r="C329" s="25"/>
      <c r="D329" s="25"/>
      <c r="E329" s="9">
        <v>0</v>
      </c>
      <c r="G329" s="1">
        <f>((Fórmulas!C$6/Fórmulas!D$6)/Fórmulas!E$6)*E329</f>
        <v>0</v>
      </c>
      <c r="H329" s="1">
        <f>G329*Fórmulas!B$9</f>
        <v>0</v>
      </c>
      <c r="I329" s="7">
        <f t="shared" si="6"/>
        <v>0</v>
      </c>
      <c r="K329" s="1">
        <v>1</v>
      </c>
      <c r="L329" s="1">
        <f>((Fórmulas!C$6/Fórmulas!D$6)/0.7)*K329</f>
        <v>2.4489795918367347</v>
      </c>
      <c r="M329" s="1">
        <f>L329*Fórmulas!D$6</f>
        <v>857.14285714285711</v>
      </c>
    </row>
    <row r="330" spans="1:13" s="9" customFormat="1" x14ac:dyDescent="0.25">
      <c r="B330" s="25"/>
      <c r="C330" s="25"/>
      <c r="D330" s="25"/>
      <c r="E330" s="9">
        <v>0</v>
      </c>
      <c r="G330" s="1">
        <f>((Fórmulas!C$6/Fórmulas!D$6)/Fórmulas!E$6)*E330</f>
        <v>0</v>
      </c>
      <c r="H330" s="1">
        <f>G330*Fórmulas!B$9</f>
        <v>0</v>
      </c>
      <c r="I330" s="7">
        <f t="shared" si="6"/>
        <v>0</v>
      </c>
      <c r="K330" s="1">
        <v>1</v>
      </c>
      <c r="L330" s="1">
        <f>((Fórmulas!C$6/Fórmulas!D$6)/0.7)*K330</f>
        <v>2.4489795918367347</v>
      </c>
      <c r="M330" s="1">
        <f>L330*Fórmulas!D$6</f>
        <v>857.14285714285711</v>
      </c>
    </row>
    <row r="331" spans="1:13" x14ac:dyDescent="0.25">
      <c r="A331" s="9"/>
      <c r="B331" s="25"/>
      <c r="C331" s="25"/>
      <c r="D331" s="25"/>
      <c r="E331" s="9">
        <v>0</v>
      </c>
      <c r="F331" s="9"/>
      <c r="G331" s="1">
        <f>((Fórmulas!C$6/Fórmulas!D$6)/Fórmulas!E$6)*E331</f>
        <v>0</v>
      </c>
      <c r="H331" s="1">
        <f>G331*Fórmulas!B$9</f>
        <v>0</v>
      </c>
      <c r="I331" s="7">
        <f t="shared" si="6"/>
        <v>0</v>
      </c>
      <c r="J331" s="9"/>
      <c r="K331" s="1">
        <v>1</v>
      </c>
      <c r="L331" s="1">
        <f>((Fórmulas!C$6/Fórmulas!D$6)/0.7)*K331</f>
        <v>2.4489795918367347</v>
      </c>
      <c r="M331" s="1">
        <f>L331*Fórmulas!D$6</f>
        <v>857.14285714285711</v>
      </c>
    </row>
    <row r="332" spans="1:13" x14ac:dyDescent="0.25">
      <c r="A332" s="9"/>
      <c r="B332" s="25"/>
      <c r="C332" s="25"/>
      <c r="D332" s="25"/>
      <c r="E332" s="9">
        <v>0</v>
      </c>
      <c r="F332" s="9"/>
      <c r="G332" s="1">
        <f>((Fórmulas!C$6/Fórmulas!D$6)/Fórmulas!E$6)*E332</f>
        <v>0</v>
      </c>
      <c r="H332" s="1">
        <f>G332*Fórmulas!B$9</f>
        <v>0</v>
      </c>
      <c r="I332" s="7">
        <f t="shared" si="6"/>
        <v>0</v>
      </c>
      <c r="J332" s="9"/>
      <c r="K332" s="1">
        <v>1</v>
      </c>
      <c r="L332" s="1">
        <f>((Fórmulas!C$6/Fórmulas!D$6)/0.7)*K332</f>
        <v>2.4489795918367347</v>
      </c>
      <c r="M332" s="1">
        <f>L332*Fórmulas!D$6</f>
        <v>857.14285714285711</v>
      </c>
    </row>
    <row r="333" spans="1:13" x14ac:dyDescent="0.25">
      <c r="A333" s="9"/>
      <c r="B333" s="25"/>
      <c r="C333" s="25"/>
      <c r="D333" s="25"/>
      <c r="E333" s="9">
        <v>0</v>
      </c>
      <c r="F333" s="9"/>
      <c r="G333" s="1">
        <f>((Fórmulas!C$6/Fórmulas!D$6)/Fórmulas!E$6)*E333</f>
        <v>0</v>
      </c>
      <c r="H333" s="1">
        <f>G333*Fórmulas!B$9</f>
        <v>0</v>
      </c>
      <c r="I333" s="7">
        <f t="shared" si="6"/>
        <v>0</v>
      </c>
      <c r="J333" s="9"/>
      <c r="K333" s="1">
        <v>1</v>
      </c>
      <c r="L333" s="1">
        <f>((Fórmulas!C$6/Fórmulas!D$6)/0.7)*K333</f>
        <v>2.4489795918367347</v>
      </c>
      <c r="M333" s="1">
        <f>L333*Fórmulas!D$6</f>
        <v>857.14285714285711</v>
      </c>
    </row>
    <row r="334" spans="1:13" x14ac:dyDescent="0.25">
      <c r="A334" s="9"/>
      <c r="B334" s="25"/>
      <c r="C334" s="25"/>
      <c r="D334" s="25"/>
      <c r="E334" s="9">
        <v>0</v>
      </c>
      <c r="F334" s="9"/>
      <c r="G334" s="1">
        <f>((Fórmulas!C$6/Fórmulas!D$6)/Fórmulas!E$6)*E334</f>
        <v>0</v>
      </c>
      <c r="H334" s="1">
        <f>G334*Fórmulas!B$9</f>
        <v>0</v>
      </c>
      <c r="I334" s="7">
        <f t="shared" si="6"/>
        <v>0</v>
      </c>
      <c r="J334" s="9"/>
      <c r="K334" s="1">
        <v>1</v>
      </c>
      <c r="L334" s="1">
        <f>((Fórmulas!C$6/Fórmulas!D$6)/0.7)*K334</f>
        <v>2.4489795918367347</v>
      </c>
      <c r="M334" s="1">
        <f>L334*Fórmulas!D$6</f>
        <v>857.14285714285711</v>
      </c>
    </row>
    <row r="335" spans="1:13" x14ac:dyDescent="0.25">
      <c r="A335" s="9"/>
      <c r="B335" s="25"/>
      <c r="C335" s="25"/>
      <c r="D335" s="25"/>
      <c r="E335" s="9">
        <v>0</v>
      </c>
      <c r="F335" s="9"/>
      <c r="G335" s="1">
        <f>((Fórmulas!C$6/Fórmulas!D$6)/Fórmulas!E$6)*E335</f>
        <v>0</v>
      </c>
      <c r="H335" s="1">
        <f>G335*Fórmulas!B$9</f>
        <v>0</v>
      </c>
      <c r="I335" s="7">
        <f t="shared" si="6"/>
        <v>0</v>
      </c>
      <c r="J335" s="9"/>
      <c r="K335" s="1">
        <v>1</v>
      </c>
      <c r="L335" s="1">
        <f>((Fórmulas!C$6/Fórmulas!D$6)/0.7)*K335</f>
        <v>2.4489795918367347</v>
      </c>
      <c r="M335" s="1">
        <f>L335*Fórmulas!D$6</f>
        <v>857.14285714285711</v>
      </c>
    </row>
    <row r="336" spans="1:13" x14ac:dyDescent="0.25">
      <c r="A336" s="9"/>
      <c r="B336" s="25"/>
      <c r="C336" s="25"/>
      <c r="D336" s="25"/>
      <c r="E336" s="9">
        <v>0</v>
      </c>
      <c r="F336" s="9"/>
      <c r="G336" s="1">
        <f>((Fórmulas!C$6/Fórmulas!D$6)/Fórmulas!E$6)*E336</f>
        <v>0</v>
      </c>
      <c r="H336" s="1">
        <f>G336*Fórmulas!B$9</f>
        <v>0</v>
      </c>
      <c r="I336" s="7">
        <f t="shared" si="6"/>
        <v>0</v>
      </c>
      <c r="J336" s="9"/>
      <c r="K336" s="1">
        <v>1</v>
      </c>
      <c r="L336" s="1">
        <f>((Fórmulas!C$6/Fórmulas!D$6)/0.7)*K336</f>
        <v>2.4489795918367347</v>
      </c>
      <c r="M336" s="1">
        <f>L336*Fórmulas!D$6</f>
        <v>857.14285714285711</v>
      </c>
    </row>
    <row r="337" spans="1:13" s="3" customFormat="1" x14ac:dyDescent="0.25">
      <c r="A337" s="9"/>
      <c r="B337" s="25"/>
      <c r="C337" s="25"/>
      <c r="D337" s="25"/>
      <c r="E337" s="9">
        <v>0</v>
      </c>
      <c r="F337" s="9"/>
      <c r="G337" s="1">
        <f>((Fórmulas!C$6/Fórmulas!D$6)/Fórmulas!E$6)*E337</f>
        <v>0</v>
      </c>
      <c r="H337" s="1">
        <f>G337*Fórmulas!B$9</f>
        <v>0</v>
      </c>
      <c r="I337" s="7">
        <f t="shared" ref="I337:I400" si="7">E337/0.6</f>
        <v>0</v>
      </c>
      <c r="J337" s="9"/>
      <c r="K337" s="1">
        <v>1</v>
      </c>
      <c r="L337" s="1">
        <f>((Fórmulas!C$6/Fórmulas!D$6)/0.7)*K337</f>
        <v>2.4489795918367347</v>
      </c>
      <c r="M337" s="1">
        <f>L337*Fórmulas!D$6</f>
        <v>857.14285714285711</v>
      </c>
    </row>
    <row r="338" spans="1:13" x14ac:dyDescent="0.25">
      <c r="A338" s="9"/>
      <c r="B338" s="25"/>
      <c r="C338" s="25"/>
      <c r="D338" s="25"/>
      <c r="E338" s="9">
        <v>0</v>
      </c>
      <c r="F338" s="9"/>
      <c r="G338" s="1">
        <f>((Fórmulas!C$6/Fórmulas!D$6)/Fórmulas!E$6)*E338</f>
        <v>0</v>
      </c>
      <c r="H338" s="1">
        <f>G338*Fórmulas!B$9</f>
        <v>0</v>
      </c>
      <c r="I338" s="7">
        <f t="shared" si="7"/>
        <v>0</v>
      </c>
      <c r="J338" s="9"/>
      <c r="K338" s="1">
        <v>1</v>
      </c>
      <c r="L338" s="1">
        <f>((Fórmulas!C$6/Fórmulas!D$6)/0.7)*K338</f>
        <v>2.4489795918367347</v>
      </c>
      <c r="M338" s="1">
        <f>L338*Fórmulas!D$6</f>
        <v>857.14285714285711</v>
      </c>
    </row>
    <row r="339" spans="1:13" x14ac:dyDescent="0.25">
      <c r="A339" s="9"/>
      <c r="B339" s="25"/>
      <c r="C339" s="25"/>
      <c r="D339" s="25"/>
      <c r="E339" s="9">
        <v>0</v>
      </c>
      <c r="F339" s="9"/>
      <c r="G339" s="1">
        <f>((Fórmulas!C$6/Fórmulas!D$6)/Fórmulas!E$6)*E339</f>
        <v>0</v>
      </c>
      <c r="H339" s="1">
        <f>G339*Fórmulas!B$9</f>
        <v>0</v>
      </c>
      <c r="I339" s="7">
        <f t="shared" si="7"/>
        <v>0</v>
      </c>
      <c r="J339" s="9"/>
      <c r="K339" s="1">
        <v>1</v>
      </c>
      <c r="L339" s="1">
        <f>((Fórmulas!C$6/Fórmulas!D$6)/0.7)*K339</f>
        <v>2.4489795918367347</v>
      </c>
      <c r="M339" s="1">
        <f>L339*Fórmulas!D$6</f>
        <v>857.14285714285711</v>
      </c>
    </row>
    <row r="340" spans="1:13" x14ac:dyDescent="0.25">
      <c r="A340" s="3"/>
      <c r="B340" s="25"/>
      <c r="C340" s="25"/>
      <c r="D340" s="25"/>
      <c r="E340">
        <v>0</v>
      </c>
      <c r="G340" s="1">
        <f>((Fórmulas!C$6/Fórmulas!D$6)/Fórmulas!E$6)*E340</f>
        <v>0</v>
      </c>
      <c r="H340" s="1">
        <f>G340*Fórmulas!B$9</f>
        <v>0</v>
      </c>
      <c r="I340" s="7">
        <f t="shared" si="7"/>
        <v>0</v>
      </c>
      <c r="K340" s="1">
        <v>1</v>
      </c>
      <c r="L340" s="1">
        <f>((Fórmulas!C$6/Fórmulas!D$6)/0.7)*K340</f>
        <v>2.4489795918367347</v>
      </c>
      <c r="M340" s="1">
        <f>L340*Fórmulas!D$6</f>
        <v>857.14285714285711</v>
      </c>
    </row>
    <row r="341" spans="1:13" s="3" customFormat="1" x14ac:dyDescent="0.25">
      <c r="A341" s="3" t="s">
        <v>179</v>
      </c>
      <c r="B341" s="25" t="s">
        <v>455</v>
      </c>
      <c r="C341" s="25"/>
      <c r="D341" s="25"/>
      <c r="E341" s="3">
        <v>10.6</v>
      </c>
      <c r="F341" s="4"/>
      <c r="G341" s="1">
        <f>((Fórmulas!C$6/Fórmulas!D$6)/Fórmulas!E$6)*E341</f>
        <v>25.959183673469386</v>
      </c>
      <c r="H341" s="1">
        <f>G341*Fórmulas!B$9</f>
        <v>9085.7142857142844</v>
      </c>
      <c r="I341" s="7">
        <f t="shared" si="7"/>
        <v>17.666666666666668</v>
      </c>
      <c r="K341" s="1">
        <v>1</v>
      </c>
      <c r="L341" s="1">
        <f>((Fórmulas!C$6/Fórmulas!D$6)/0.7)*K341</f>
        <v>2.4489795918367347</v>
      </c>
      <c r="M341" s="1">
        <f>L341*Fórmulas!D$6</f>
        <v>857.14285714285711</v>
      </c>
    </row>
    <row r="342" spans="1:13" s="3" customFormat="1" x14ac:dyDescent="0.25">
      <c r="A342" s="3" t="s">
        <v>179</v>
      </c>
      <c r="B342" s="25" t="s">
        <v>284</v>
      </c>
      <c r="C342" s="25"/>
      <c r="D342" s="25"/>
      <c r="E342" s="3">
        <v>11.5</v>
      </c>
      <c r="F342" s="4"/>
      <c r="G342" s="1">
        <f>((Fórmulas!C$6/Fórmulas!D$6)/Fórmulas!E$6)*E342</f>
        <v>28.163265306122451</v>
      </c>
      <c r="H342" s="1">
        <f>G342*Fórmulas!B$9</f>
        <v>9857.1428571428587</v>
      </c>
      <c r="I342" s="7">
        <f t="shared" si="7"/>
        <v>19.166666666666668</v>
      </c>
      <c r="K342" s="1">
        <v>1</v>
      </c>
      <c r="L342" s="1">
        <f>((Fórmulas!C$6/Fórmulas!D$6)/0.7)*K342</f>
        <v>2.4489795918367347</v>
      </c>
      <c r="M342" s="1">
        <f>L342*Fórmulas!D$6</f>
        <v>857.14285714285711</v>
      </c>
    </row>
    <row r="343" spans="1:13" s="3" customFormat="1" x14ac:dyDescent="0.25">
      <c r="A343" s="3" t="s">
        <v>179</v>
      </c>
      <c r="B343" s="25" t="s">
        <v>285</v>
      </c>
      <c r="C343" s="25"/>
      <c r="D343" s="25"/>
      <c r="E343" s="3">
        <v>9</v>
      </c>
      <c r="F343" s="4"/>
      <c r="G343" s="1">
        <f>((Fórmulas!C$6/Fórmulas!D$6)/Fórmulas!E$6)*E343</f>
        <v>22.040816326530614</v>
      </c>
      <c r="H343" s="1">
        <f>G343*Fórmulas!B$9</f>
        <v>7714.2857142857147</v>
      </c>
      <c r="I343" s="7">
        <f t="shared" si="7"/>
        <v>15</v>
      </c>
      <c r="K343" s="1">
        <v>1</v>
      </c>
      <c r="L343" s="1">
        <f>((Fórmulas!C$6/Fórmulas!D$6)/0.7)*K343</f>
        <v>2.4489795918367347</v>
      </c>
      <c r="M343" s="1">
        <f>L343*Fórmulas!D$6</f>
        <v>857.14285714285711</v>
      </c>
    </row>
    <row r="344" spans="1:13" s="3" customFormat="1" x14ac:dyDescent="0.25">
      <c r="A344" s="3" t="s">
        <v>179</v>
      </c>
      <c r="B344" s="25" t="s">
        <v>286</v>
      </c>
      <c r="C344" s="25"/>
      <c r="D344" s="25"/>
      <c r="E344" s="3">
        <v>9.5</v>
      </c>
      <c r="F344" s="4"/>
      <c r="G344" s="1">
        <f>((Fórmulas!C$6/Fórmulas!D$6)/Fórmulas!E$6)*E344</f>
        <v>23.26530612244898</v>
      </c>
      <c r="H344" s="1">
        <f>G344*Fórmulas!B$9</f>
        <v>8142.8571428571431</v>
      </c>
      <c r="I344" s="7">
        <f t="shared" si="7"/>
        <v>15.833333333333334</v>
      </c>
      <c r="K344" s="1">
        <v>1</v>
      </c>
      <c r="L344" s="1">
        <f>((Fórmulas!C$6/Fórmulas!D$6)/0.7)*K344</f>
        <v>2.4489795918367347</v>
      </c>
      <c r="M344" s="1">
        <f>L344*Fórmulas!D$6</f>
        <v>857.14285714285711</v>
      </c>
    </row>
    <row r="345" spans="1:13" s="3" customFormat="1" x14ac:dyDescent="0.25">
      <c r="A345" s="3" t="s">
        <v>179</v>
      </c>
      <c r="B345" s="25" t="s">
        <v>287</v>
      </c>
      <c r="C345" s="25"/>
      <c r="D345" s="25"/>
      <c r="E345" s="3">
        <v>13.3</v>
      </c>
      <c r="F345" s="4"/>
      <c r="G345" s="1">
        <f>((Fórmulas!C$6/Fórmulas!D$6)/Fórmulas!E$6)*E345</f>
        <v>32.571428571428577</v>
      </c>
      <c r="H345" s="1">
        <f>G345*Fórmulas!B$9</f>
        <v>11400.000000000002</v>
      </c>
      <c r="I345" s="7">
        <f t="shared" si="7"/>
        <v>22.166666666666668</v>
      </c>
      <c r="K345" s="1">
        <v>1</v>
      </c>
      <c r="L345" s="1">
        <f>((Fórmulas!C$6/Fórmulas!D$6)/0.7)*K345</f>
        <v>2.4489795918367347</v>
      </c>
      <c r="M345" s="1">
        <f>L345*Fórmulas!D$6</f>
        <v>857.14285714285711</v>
      </c>
    </row>
    <row r="346" spans="1:13" s="3" customFormat="1" x14ac:dyDescent="0.25">
      <c r="A346" s="3" t="s">
        <v>179</v>
      </c>
      <c r="B346" s="25" t="s">
        <v>288</v>
      </c>
      <c r="C346" s="25"/>
      <c r="D346" s="25"/>
      <c r="E346" s="3">
        <v>14.5</v>
      </c>
      <c r="F346" s="4"/>
      <c r="G346" s="1">
        <f>((Fórmulas!C$6/Fórmulas!D$6)/Fórmulas!E$6)*E346</f>
        <v>35.510204081632651</v>
      </c>
      <c r="H346" s="1">
        <f>G346*Fórmulas!B$9</f>
        <v>12428.571428571428</v>
      </c>
      <c r="I346" s="7">
        <f t="shared" si="7"/>
        <v>24.166666666666668</v>
      </c>
      <c r="K346" s="1">
        <v>1</v>
      </c>
      <c r="L346" s="1">
        <f>((Fórmulas!C$6/Fórmulas!D$6)/0.7)*K346</f>
        <v>2.4489795918367347</v>
      </c>
      <c r="M346" s="1">
        <f>L346*Fórmulas!D$6</f>
        <v>857.14285714285711</v>
      </c>
    </row>
    <row r="347" spans="1:13" s="3" customFormat="1" x14ac:dyDescent="0.25">
      <c r="B347" s="25"/>
      <c r="C347" s="25"/>
      <c r="D347" s="25"/>
      <c r="E347" s="3">
        <v>0</v>
      </c>
      <c r="F347" s="4"/>
      <c r="G347" s="1">
        <f>((Fórmulas!C$6/Fórmulas!D$6)/Fórmulas!E$6)*E347</f>
        <v>0</v>
      </c>
      <c r="H347" s="1">
        <f>G347*Fórmulas!B$9</f>
        <v>0</v>
      </c>
      <c r="I347" s="7">
        <f t="shared" si="7"/>
        <v>0</v>
      </c>
      <c r="K347" s="1">
        <v>1</v>
      </c>
      <c r="L347" s="1">
        <f>((Fórmulas!C$6/Fórmulas!D$6)/0.7)*K347</f>
        <v>2.4489795918367347</v>
      </c>
      <c r="M347" s="1">
        <f>L347*Fórmulas!D$6</f>
        <v>857.14285714285711</v>
      </c>
    </row>
    <row r="348" spans="1:13" s="3" customFormat="1" x14ac:dyDescent="0.25">
      <c r="B348" s="25"/>
      <c r="C348" s="25"/>
      <c r="D348" s="25"/>
      <c r="E348" s="3">
        <v>0</v>
      </c>
      <c r="F348" s="4"/>
      <c r="G348" s="1">
        <f>((Fórmulas!C$6/Fórmulas!D$6)/Fórmulas!E$6)*E348</f>
        <v>0</v>
      </c>
      <c r="H348" s="1">
        <f>G348*Fórmulas!B$9</f>
        <v>0</v>
      </c>
      <c r="I348" s="7">
        <f t="shared" si="7"/>
        <v>0</v>
      </c>
      <c r="K348" s="1">
        <v>1</v>
      </c>
      <c r="L348" s="1">
        <f>((Fórmulas!C$6/Fórmulas!D$6)/0.7)*K348</f>
        <v>2.4489795918367347</v>
      </c>
      <c r="M348" s="1">
        <f>L348*Fórmulas!D$6</f>
        <v>857.14285714285711</v>
      </c>
    </row>
    <row r="349" spans="1:13" s="3" customFormat="1" x14ac:dyDescent="0.25">
      <c r="B349" s="25"/>
      <c r="C349" s="25"/>
      <c r="D349" s="25"/>
      <c r="E349" s="3">
        <v>0</v>
      </c>
      <c r="F349" s="4"/>
      <c r="G349" s="1">
        <f>((Fórmulas!C$6/Fórmulas!D$6)/Fórmulas!E$6)*E349</f>
        <v>0</v>
      </c>
      <c r="H349" s="1">
        <f>G349*Fórmulas!B$9</f>
        <v>0</v>
      </c>
      <c r="I349" s="7">
        <f t="shared" si="7"/>
        <v>0</v>
      </c>
      <c r="K349" s="1">
        <v>1</v>
      </c>
      <c r="L349" s="1">
        <f>((Fórmulas!C$6/Fórmulas!D$6)/0.7)*K349</f>
        <v>2.4489795918367347</v>
      </c>
      <c r="M349" s="1">
        <f>L349*Fórmulas!D$6</f>
        <v>857.14285714285711</v>
      </c>
    </row>
    <row r="350" spans="1:13" s="3" customFormat="1" x14ac:dyDescent="0.25">
      <c r="B350" s="25"/>
      <c r="C350" s="25"/>
      <c r="D350" s="25"/>
      <c r="E350" s="3">
        <v>0</v>
      </c>
      <c r="F350" s="4"/>
      <c r="G350" s="1">
        <f>((Fórmulas!C$6/Fórmulas!D$6)/Fórmulas!E$6)*E350</f>
        <v>0</v>
      </c>
      <c r="H350" s="1">
        <f>G350*Fórmulas!B$9</f>
        <v>0</v>
      </c>
      <c r="I350" s="7">
        <f t="shared" si="7"/>
        <v>0</v>
      </c>
      <c r="K350" s="1">
        <v>1</v>
      </c>
      <c r="L350" s="1">
        <f>((Fórmulas!C$6/Fórmulas!D$6)/0.7)*K350</f>
        <v>2.4489795918367347</v>
      </c>
      <c r="M350" s="1">
        <f>L350*Fórmulas!D$6</f>
        <v>857.14285714285711</v>
      </c>
    </row>
    <row r="351" spans="1:13" s="3" customFormat="1" x14ac:dyDescent="0.25">
      <c r="B351" s="25"/>
      <c r="C351" s="25"/>
      <c r="D351" s="25"/>
      <c r="E351" s="3">
        <v>0</v>
      </c>
      <c r="F351" s="4"/>
      <c r="G351" s="1">
        <f>((Fórmulas!C$6/Fórmulas!D$6)/Fórmulas!E$6)*E351</f>
        <v>0</v>
      </c>
      <c r="H351" s="1">
        <f>G351*Fórmulas!B$9</f>
        <v>0</v>
      </c>
      <c r="I351" s="7">
        <f t="shared" si="7"/>
        <v>0</v>
      </c>
      <c r="K351" s="1">
        <v>1</v>
      </c>
      <c r="L351" s="1">
        <f>((Fórmulas!C$6/Fórmulas!D$6)/0.7)*K351</f>
        <v>2.4489795918367347</v>
      </c>
      <c r="M351" s="1">
        <f>L351*Fórmulas!D$6</f>
        <v>857.14285714285711</v>
      </c>
    </row>
    <row r="352" spans="1:13" s="3" customFormat="1" x14ac:dyDescent="0.25">
      <c r="B352" s="25"/>
      <c r="C352" s="25"/>
      <c r="D352" s="25"/>
      <c r="E352" s="3">
        <v>0</v>
      </c>
      <c r="F352" s="4"/>
      <c r="G352" s="1">
        <f>((Fórmulas!C$6/Fórmulas!D$6)/Fórmulas!E$6)*E352</f>
        <v>0</v>
      </c>
      <c r="H352" s="1">
        <f>G352*Fórmulas!B$9</f>
        <v>0</v>
      </c>
      <c r="I352" s="7">
        <f t="shared" si="7"/>
        <v>0</v>
      </c>
      <c r="K352" s="1">
        <v>1</v>
      </c>
      <c r="L352" s="1">
        <f>((Fórmulas!C$6/Fórmulas!D$6)/0.7)*K352</f>
        <v>2.4489795918367347</v>
      </c>
      <c r="M352" s="1">
        <f>L352*Fórmulas!D$6</f>
        <v>857.14285714285711</v>
      </c>
    </row>
    <row r="353" spans="2:13" s="3" customFormat="1" x14ac:dyDescent="0.25">
      <c r="B353" s="25"/>
      <c r="C353" s="25"/>
      <c r="D353" s="25"/>
      <c r="E353" s="3">
        <v>0</v>
      </c>
      <c r="F353" s="4"/>
      <c r="G353" s="1">
        <f>((Fórmulas!C$6/Fórmulas!D$6)/Fórmulas!E$6)*E353</f>
        <v>0</v>
      </c>
      <c r="H353" s="1">
        <f>G353*Fórmulas!B$9</f>
        <v>0</v>
      </c>
      <c r="I353" s="7">
        <f t="shared" si="7"/>
        <v>0</v>
      </c>
      <c r="K353" s="1">
        <v>1</v>
      </c>
      <c r="L353" s="1">
        <f>((Fórmulas!C$6/Fórmulas!D$6)/0.7)*K353</f>
        <v>2.4489795918367347</v>
      </c>
      <c r="M353" s="1">
        <f>L353*Fórmulas!D$6</f>
        <v>857.14285714285711</v>
      </c>
    </row>
    <row r="354" spans="2:13" s="3" customFormat="1" x14ac:dyDescent="0.25">
      <c r="B354" s="25"/>
      <c r="C354" s="25"/>
      <c r="D354" s="25"/>
      <c r="E354" s="3">
        <v>0</v>
      </c>
      <c r="F354" s="4"/>
      <c r="G354" s="1">
        <f>((Fórmulas!C$6/Fórmulas!D$6)/Fórmulas!E$6)*E354</f>
        <v>0</v>
      </c>
      <c r="H354" s="1">
        <f>G354*Fórmulas!B$9</f>
        <v>0</v>
      </c>
      <c r="I354" s="7">
        <f t="shared" si="7"/>
        <v>0</v>
      </c>
      <c r="K354" s="1">
        <v>1</v>
      </c>
      <c r="L354" s="1">
        <f>((Fórmulas!C$6/Fórmulas!D$6)/0.7)*K354</f>
        <v>2.4489795918367347</v>
      </c>
      <c r="M354" s="1">
        <f>L354*Fórmulas!D$6</f>
        <v>857.14285714285711</v>
      </c>
    </row>
    <row r="355" spans="2:13" s="3" customFormat="1" x14ac:dyDescent="0.25">
      <c r="B355" s="25"/>
      <c r="C355" s="25"/>
      <c r="D355" s="25"/>
      <c r="E355" s="3">
        <v>0</v>
      </c>
      <c r="F355" s="4"/>
      <c r="G355" s="1">
        <f>((Fórmulas!C$6/Fórmulas!D$6)/Fórmulas!E$6)*E355</f>
        <v>0</v>
      </c>
      <c r="H355" s="1">
        <f>G355*Fórmulas!B$9</f>
        <v>0</v>
      </c>
      <c r="I355" s="7">
        <f t="shared" si="7"/>
        <v>0</v>
      </c>
      <c r="K355" s="1">
        <v>1</v>
      </c>
      <c r="L355" s="1">
        <f>((Fórmulas!C$6/Fórmulas!D$6)/0.7)*K355</f>
        <v>2.4489795918367347</v>
      </c>
      <c r="M355" s="1">
        <f>L355*Fórmulas!D$6</f>
        <v>857.14285714285711</v>
      </c>
    </row>
    <row r="356" spans="2:13" s="3" customFormat="1" x14ac:dyDescent="0.25">
      <c r="B356" s="25"/>
      <c r="C356" s="25"/>
      <c r="D356" s="25"/>
      <c r="E356" s="3">
        <v>0</v>
      </c>
      <c r="F356" s="4"/>
      <c r="G356" s="1">
        <f>((Fórmulas!C$6/Fórmulas!D$6)/Fórmulas!E$6)*E356</f>
        <v>0</v>
      </c>
      <c r="H356" s="1">
        <f>G356*Fórmulas!B$9</f>
        <v>0</v>
      </c>
      <c r="I356" s="7">
        <f t="shared" si="7"/>
        <v>0</v>
      </c>
      <c r="K356" s="1">
        <v>1</v>
      </c>
      <c r="L356" s="1">
        <f>((Fórmulas!C$6/Fórmulas!D$6)/0.7)*K356</f>
        <v>2.4489795918367347</v>
      </c>
      <c r="M356" s="1">
        <f>L356*Fórmulas!D$6</f>
        <v>857.14285714285711</v>
      </c>
    </row>
    <row r="357" spans="2:13" s="3" customFormat="1" x14ac:dyDescent="0.25">
      <c r="B357" s="25"/>
      <c r="C357" s="25"/>
      <c r="D357" s="25"/>
      <c r="E357" s="3">
        <v>0</v>
      </c>
      <c r="F357" s="4"/>
      <c r="G357" s="1">
        <f>((Fórmulas!C$6/Fórmulas!D$6)/Fórmulas!E$6)*E357</f>
        <v>0</v>
      </c>
      <c r="H357" s="1">
        <f>G357*Fórmulas!B$9</f>
        <v>0</v>
      </c>
      <c r="I357" s="7">
        <f t="shared" si="7"/>
        <v>0</v>
      </c>
      <c r="K357" s="1">
        <v>1</v>
      </c>
      <c r="L357" s="1">
        <f>((Fórmulas!C$6/Fórmulas!D$6)/0.7)*K357</f>
        <v>2.4489795918367347</v>
      </c>
      <c r="M357" s="1">
        <f>L357*Fórmulas!D$6</f>
        <v>857.14285714285711</v>
      </c>
    </row>
    <row r="358" spans="2:13" s="3" customFormat="1" x14ac:dyDescent="0.25">
      <c r="B358" s="25"/>
      <c r="C358" s="25"/>
      <c r="D358" s="25"/>
      <c r="E358" s="3">
        <v>0</v>
      </c>
      <c r="F358" s="4"/>
      <c r="G358" s="1">
        <f>((Fórmulas!C$6/Fórmulas!D$6)/Fórmulas!E$6)*E358</f>
        <v>0</v>
      </c>
      <c r="H358" s="1">
        <f>G358*Fórmulas!B$9</f>
        <v>0</v>
      </c>
      <c r="I358" s="7">
        <f t="shared" si="7"/>
        <v>0</v>
      </c>
      <c r="K358" s="1">
        <v>1</v>
      </c>
      <c r="L358" s="1">
        <f>((Fórmulas!C$6/Fórmulas!D$6)/0.7)*K358</f>
        <v>2.4489795918367347</v>
      </c>
      <c r="M358" s="1">
        <f>L358*Fórmulas!D$6</f>
        <v>857.14285714285711</v>
      </c>
    </row>
    <row r="359" spans="2:13" s="3" customFormat="1" x14ac:dyDescent="0.25">
      <c r="B359" s="25"/>
      <c r="C359" s="25"/>
      <c r="D359" s="25"/>
      <c r="E359" s="3">
        <v>0</v>
      </c>
      <c r="F359" s="4"/>
      <c r="G359" s="1">
        <f>((Fórmulas!C$6/Fórmulas!D$6)/Fórmulas!E$6)*E359</f>
        <v>0</v>
      </c>
      <c r="H359" s="1">
        <f>G359*Fórmulas!B$9</f>
        <v>0</v>
      </c>
      <c r="I359" s="7">
        <f t="shared" si="7"/>
        <v>0</v>
      </c>
      <c r="K359" s="1">
        <v>1</v>
      </c>
      <c r="L359" s="1">
        <f>((Fórmulas!C$6/Fórmulas!D$6)/0.7)*K359</f>
        <v>2.4489795918367347</v>
      </c>
      <c r="M359" s="1">
        <f>L359*Fórmulas!D$6</f>
        <v>857.14285714285711</v>
      </c>
    </row>
    <row r="360" spans="2:13" s="3" customFormat="1" x14ac:dyDescent="0.25">
      <c r="B360" s="25"/>
      <c r="C360" s="25"/>
      <c r="D360" s="25"/>
      <c r="E360" s="3">
        <v>0</v>
      </c>
      <c r="F360" s="4"/>
      <c r="G360" s="1">
        <f>((Fórmulas!C$6/Fórmulas!D$6)/Fórmulas!E$6)*E360</f>
        <v>0</v>
      </c>
      <c r="H360" s="1">
        <f>G360*Fórmulas!B$9</f>
        <v>0</v>
      </c>
      <c r="I360" s="7">
        <f t="shared" si="7"/>
        <v>0</v>
      </c>
      <c r="K360" s="1">
        <v>1</v>
      </c>
      <c r="L360" s="1">
        <f>((Fórmulas!C$6/Fórmulas!D$6)/0.7)*K360</f>
        <v>2.4489795918367347</v>
      </c>
      <c r="M360" s="1">
        <f>L360*Fórmulas!D$6</f>
        <v>857.14285714285711</v>
      </c>
    </row>
    <row r="361" spans="2:13" s="3" customFormat="1" x14ac:dyDescent="0.25">
      <c r="B361" s="25"/>
      <c r="C361" s="25"/>
      <c r="D361" s="25"/>
      <c r="E361" s="3">
        <v>0</v>
      </c>
      <c r="F361" s="4"/>
      <c r="G361" s="1">
        <f>((Fórmulas!C$6/Fórmulas!D$6)/Fórmulas!E$6)*E361</f>
        <v>0</v>
      </c>
      <c r="H361" s="1">
        <f>G361*Fórmulas!B$9</f>
        <v>0</v>
      </c>
      <c r="I361" s="7">
        <f t="shared" si="7"/>
        <v>0</v>
      </c>
      <c r="K361" s="1">
        <v>1</v>
      </c>
      <c r="L361" s="1">
        <f>((Fórmulas!C$6/Fórmulas!D$6)/0.7)*K361</f>
        <v>2.4489795918367347</v>
      </c>
      <c r="M361" s="1">
        <f>L361*Fórmulas!D$6</f>
        <v>857.14285714285711</v>
      </c>
    </row>
    <row r="362" spans="2:13" s="3" customFormat="1" x14ac:dyDescent="0.25">
      <c r="B362" s="25"/>
      <c r="C362" s="25"/>
      <c r="D362" s="25"/>
      <c r="E362" s="3">
        <v>0</v>
      </c>
      <c r="F362" s="4"/>
      <c r="G362" s="1">
        <f>((Fórmulas!C$6/Fórmulas!D$6)/Fórmulas!E$6)*E362</f>
        <v>0</v>
      </c>
      <c r="H362" s="1">
        <f>G362*Fórmulas!B$9</f>
        <v>0</v>
      </c>
      <c r="I362" s="7">
        <f t="shared" si="7"/>
        <v>0</v>
      </c>
      <c r="K362" s="1">
        <v>1</v>
      </c>
      <c r="L362" s="1">
        <f>((Fórmulas!C$6/Fórmulas!D$6)/0.7)*K362</f>
        <v>2.4489795918367347</v>
      </c>
      <c r="M362" s="1">
        <f>L362*Fórmulas!D$6</f>
        <v>857.14285714285711</v>
      </c>
    </row>
    <row r="363" spans="2:13" s="3" customFormat="1" x14ac:dyDescent="0.25">
      <c r="B363" s="26"/>
      <c r="C363" s="26"/>
      <c r="D363" s="26"/>
      <c r="E363" s="3">
        <v>0</v>
      </c>
      <c r="F363" s="4"/>
      <c r="G363" s="1">
        <f>((Fórmulas!C$6/Fórmulas!D$6)/Fórmulas!E$6)*E363</f>
        <v>0</v>
      </c>
      <c r="H363" s="1">
        <f>G363*Fórmulas!B$9</f>
        <v>0</v>
      </c>
      <c r="I363" s="7">
        <f t="shared" si="7"/>
        <v>0</v>
      </c>
      <c r="K363" s="1">
        <v>1</v>
      </c>
      <c r="L363" s="1">
        <f>((Fórmulas!C$6/Fórmulas!D$6)/0.7)*K363</f>
        <v>2.4489795918367347</v>
      </c>
      <c r="M363" s="1">
        <f>L363*Fórmulas!D$6</f>
        <v>857.14285714285711</v>
      </c>
    </row>
    <row r="364" spans="2:13" s="3" customFormat="1" x14ac:dyDescent="0.25">
      <c r="B364" s="25"/>
      <c r="C364" s="25"/>
      <c r="D364" s="25"/>
      <c r="E364" s="3">
        <v>0</v>
      </c>
      <c r="F364" s="4"/>
      <c r="G364" s="1">
        <f>((Fórmulas!C$6/Fórmulas!D$6)/Fórmulas!E$6)*E364</f>
        <v>0</v>
      </c>
      <c r="H364" s="1">
        <f>G364*Fórmulas!B$9</f>
        <v>0</v>
      </c>
      <c r="I364" s="7">
        <f t="shared" si="7"/>
        <v>0</v>
      </c>
      <c r="K364" s="1">
        <v>1</v>
      </c>
      <c r="L364" s="1">
        <f>((Fórmulas!C$6/Fórmulas!D$6)/0.7)*K364</f>
        <v>2.4489795918367347</v>
      </c>
      <c r="M364" s="1">
        <f>L364*Fórmulas!D$6</f>
        <v>857.14285714285711</v>
      </c>
    </row>
    <row r="365" spans="2:13" s="3" customFormat="1" x14ac:dyDescent="0.25">
      <c r="B365" s="25"/>
      <c r="C365" s="25"/>
      <c r="D365" s="25"/>
      <c r="E365" s="3">
        <v>0</v>
      </c>
      <c r="F365" s="4"/>
      <c r="G365" s="1">
        <f>((Fórmulas!C$6/Fórmulas!D$6)/Fórmulas!E$6)*E365</f>
        <v>0</v>
      </c>
      <c r="H365" s="1">
        <f>G365*Fórmulas!B$9</f>
        <v>0</v>
      </c>
      <c r="I365" s="7">
        <f t="shared" si="7"/>
        <v>0</v>
      </c>
      <c r="K365" s="1">
        <v>1</v>
      </c>
      <c r="L365" s="1">
        <f>((Fórmulas!C$6/Fórmulas!D$6)/0.7)*K365</f>
        <v>2.4489795918367347</v>
      </c>
      <c r="M365" s="1">
        <f>L365*Fórmulas!D$6</f>
        <v>857.14285714285711</v>
      </c>
    </row>
    <row r="366" spans="2:13" s="3" customFormat="1" x14ac:dyDescent="0.25">
      <c r="B366" s="26"/>
      <c r="C366" s="26"/>
      <c r="D366" s="26"/>
      <c r="E366" s="3">
        <v>0</v>
      </c>
      <c r="F366" s="4"/>
      <c r="G366" s="1">
        <f>((Fórmulas!C$6/Fórmulas!D$6)/Fórmulas!E$6)*E366</f>
        <v>0</v>
      </c>
      <c r="H366" s="1">
        <f>G366*Fórmulas!B$9</f>
        <v>0</v>
      </c>
      <c r="I366" s="7">
        <f t="shared" si="7"/>
        <v>0</v>
      </c>
      <c r="K366" s="1">
        <v>1</v>
      </c>
      <c r="L366" s="1">
        <f>((Fórmulas!C$6/Fórmulas!D$6)/0.7)*K366</f>
        <v>2.4489795918367347</v>
      </c>
      <c r="M366" s="1">
        <f>L366*Fórmulas!D$6</f>
        <v>857.14285714285711</v>
      </c>
    </row>
    <row r="367" spans="2:13" s="3" customFormat="1" x14ac:dyDescent="0.25">
      <c r="B367" s="25"/>
      <c r="C367" s="25"/>
      <c r="D367" s="25"/>
      <c r="E367" s="3">
        <v>0</v>
      </c>
      <c r="F367" s="4"/>
      <c r="G367" s="1">
        <f>((Fórmulas!C$6/Fórmulas!D$6)/Fórmulas!E$6)*E367</f>
        <v>0</v>
      </c>
      <c r="H367" s="1">
        <f>G367*Fórmulas!B$9</f>
        <v>0</v>
      </c>
      <c r="I367" s="7">
        <f t="shared" si="7"/>
        <v>0</v>
      </c>
      <c r="K367" s="1">
        <v>1</v>
      </c>
      <c r="L367" s="1">
        <f>((Fórmulas!C$6/Fórmulas!D$6)/0.7)*K367</f>
        <v>2.4489795918367347</v>
      </c>
      <c r="M367" s="1">
        <f>L367*Fórmulas!D$6</f>
        <v>857.14285714285711</v>
      </c>
    </row>
    <row r="368" spans="2:13" s="3" customFormat="1" x14ac:dyDescent="0.25">
      <c r="B368" s="25"/>
      <c r="C368" s="25"/>
      <c r="D368" s="25"/>
      <c r="E368" s="3">
        <v>0</v>
      </c>
      <c r="F368" s="4"/>
      <c r="G368" s="1">
        <f>((Fórmulas!C$6/Fórmulas!D$6)/Fórmulas!E$6)*E368</f>
        <v>0</v>
      </c>
      <c r="H368" s="1">
        <f>G368*Fórmulas!B$9</f>
        <v>0</v>
      </c>
      <c r="I368" s="7">
        <f t="shared" si="7"/>
        <v>0</v>
      </c>
      <c r="K368" s="1">
        <v>1</v>
      </c>
      <c r="L368" s="1">
        <f>((Fórmulas!C$6/Fórmulas!D$6)/0.7)*K368</f>
        <v>2.4489795918367347</v>
      </c>
      <c r="M368" s="1">
        <f>L368*Fórmulas!D$6</f>
        <v>857.14285714285711</v>
      </c>
    </row>
    <row r="369" spans="1:13" s="3" customFormat="1" x14ac:dyDescent="0.25">
      <c r="B369" s="25"/>
      <c r="C369" s="25"/>
      <c r="D369" s="25"/>
      <c r="E369" s="3">
        <v>0</v>
      </c>
      <c r="F369" s="4"/>
      <c r="G369" s="1">
        <f>((Fórmulas!C$6/Fórmulas!D$6)/Fórmulas!E$6)*E369</f>
        <v>0</v>
      </c>
      <c r="H369" s="1">
        <f>G369*Fórmulas!B$9</f>
        <v>0</v>
      </c>
      <c r="I369" s="7">
        <f t="shared" si="7"/>
        <v>0</v>
      </c>
      <c r="K369" s="1">
        <v>1</v>
      </c>
      <c r="L369" s="1">
        <f>((Fórmulas!C$6/Fórmulas!D$6)/0.7)*K369</f>
        <v>2.4489795918367347</v>
      </c>
      <c r="M369" s="1">
        <f>L369*Fórmulas!D$6</f>
        <v>857.14285714285711</v>
      </c>
    </row>
    <row r="370" spans="1:13" s="3" customFormat="1" x14ac:dyDescent="0.25">
      <c r="B370" s="26"/>
      <c r="C370" s="26"/>
      <c r="D370" s="26"/>
      <c r="F370" s="4"/>
      <c r="G370" s="1">
        <f>((Fórmulas!C$6/Fórmulas!D$6)/Fórmulas!E$6)*E370</f>
        <v>0</v>
      </c>
      <c r="H370" s="1">
        <f>G370*Fórmulas!B$9</f>
        <v>0</v>
      </c>
      <c r="I370" s="7">
        <f t="shared" si="7"/>
        <v>0</v>
      </c>
      <c r="K370" s="1"/>
      <c r="L370" s="1"/>
      <c r="M370" s="1"/>
    </row>
    <row r="371" spans="1:13" s="3" customFormat="1" x14ac:dyDescent="0.25">
      <c r="B371" s="26"/>
      <c r="C371" s="26"/>
      <c r="D371" s="26"/>
      <c r="F371" s="4"/>
      <c r="G371" s="1">
        <f>((Fórmulas!C$6/Fórmulas!D$6)/Fórmulas!E$6)*E371</f>
        <v>0</v>
      </c>
      <c r="H371" s="1">
        <f>G371*Fórmulas!B$9</f>
        <v>0</v>
      </c>
      <c r="I371" s="7">
        <f t="shared" si="7"/>
        <v>0</v>
      </c>
      <c r="K371" s="1"/>
      <c r="L371" s="1"/>
      <c r="M371" s="1"/>
    </row>
    <row r="372" spans="1:13" x14ac:dyDescent="0.25">
      <c r="A372" s="3"/>
      <c r="B372" s="26"/>
      <c r="C372" s="26"/>
      <c r="D372" s="26"/>
      <c r="E372" s="3"/>
      <c r="G372" s="1">
        <f>((Fórmulas!C$6/Fórmulas!D$6)/Fórmulas!E$6)*E372</f>
        <v>0</v>
      </c>
      <c r="H372" s="1">
        <f>G372*Fórmulas!B$9</f>
        <v>0</v>
      </c>
      <c r="I372" s="7">
        <f t="shared" si="7"/>
        <v>0</v>
      </c>
      <c r="J372" s="3"/>
      <c r="K372" s="1"/>
      <c r="L372" s="1"/>
      <c r="M372" s="1"/>
    </row>
    <row r="373" spans="1:13" x14ac:dyDescent="0.25">
      <c r="A373" s="3"/>
      <c r="B373" s="26"/>
      <c r="C373" s="26"/>
      <c r="D373" s="26"/>
      <c r="G373" s="1">
        <f>((Fórmulas!C$6/Fórmulas!D$6)/Fórmulas!E$6)*E373</f>
        <v>0</v>
      </c>
      <c r="H373" s="1">
        <f>G373*Fórmulas!B$9</f>
        <v>0</v>
      </c>
      <c r="I373" s="7">
        <f t="shared" si="7"/>
        <v>0</v>
      </c>
      <c r="K373" s="1">
        <v>1</v>
      </c>
      <c r="L373" s="1">
        <f>((Fórmulas!C$6/Fórmulas!D$6)/0.7)*K373</f>
        <v>2.4489795918367347</v>
      </c>
      <c r="M373" s="1">
        <f>L373*Fórmulas!D$6</f>
        <v>857.14285714285711</v>
      </c>
    </row>
    <row r="374" spans="1:13" x14ac:dyDescent="0.25">
      <c r="A374" s="3"/>
      <c r="B374" s="28" t="s">
        <v>183</v>
      </c>
      <c r="C374" s="28"/>
      <c r="D374" s="28"/>
      <c r="G374" s="1">
        <f>((Fórmulas!C$6/Fórmulas!D$6)/Fórmulas!E$6)*E374</f>
        <v>0</v>
      </c>
      <c r="H374" s="1">
        <f>G374*Fórmulas!B$9</f>
        <v>0</v>
      </c>
      <c r="I374" s="7">
        <f t="shared" si="7"/>
        <v>0</v>
      </c>
      <c r="K374" s="1">
        <v>1</v>
      </c>
      <c r="L374" s="1">
        <f>((Fórmulas!C$6/Fórmulas!D$6)/0.7)*K374</f>
        <v>2.4489795918367347</v>
      </c>
      <c r="M374" s="1">
        <f>L374*Fórmulas!D$6</f>
        <v>857.14285714285711</v>
      </c>
    </row>
    <row r="375" spans="1:13" x14ac:dyDescent="0.25">
      <c r="A375" t="s">
        <v>598</v>
      </c>
      <c r="B375" s="26" t="s">
        <v>599</v>
      </c>
      <c r="C375" s="26"/>
      <c r="D375" s="26"/>
      <c r="E375">
        <v>5.35</v>
      </c>
      <c r="G375" s="1">
        <f>((Fórmulas!C$6/Fórmulas!D$6)/Fórmulas!E$6)*E375</f>
        <v>13.102040816326531</v>
      </c>
      <c r="H375" s="1">
        <f>G375*Fórmulas!B$9</f>
        <v>4585.7142857142853</v>
      </c>
      <c r="I375" s="7">
        <f t="shared" si="7"/>
        <v>8.9166666666666661</v>
      </c>
      <c r="K375" s="1">
        <v>1</v>
      </c>
      <c r="L375" s="1">
        <f>((Fórmulas!C$6/Fórmulas!D$6)/0.7)*K375</f>
        <v>2.4489795918367347</v>
      </c>
      <c r="M375" s="1">
        <f>L375*Fórmulas!D$6</f>
        <v>857.14285714285711</v>
      </c>
    </row>
    <row r="376" spans="1:13" x14ac:dyDescent="0.25">
      <c r="A376" s="3"/>
      <c r="B376" s="26" t="s">
        <v>600</v>
      </c>
      <c r="C376" s="26"/>
      <c r="D376" s="26"/>
      <c r="E376">
        <v>4.0999999999999996</v>
      </c>
      <c r="G376" s="1">
        <f>((Fórmulas!C$6/Fórmulas!D$6)/Fórmulas!E$6)*E376</f>
        <v>10.040816326530612</v>
      </c>
      <c r="H376" s="1">
        <f>G376*Fórmulas!B$9</f>
        <v>3514.2857142857142</v>
      </c>
      <c r="I376" s="7">
        <f t="shared" si="7"/>
        <v>6.833333333333333</v>
      </c>
      <c r="K376" s="1">
        <v>1</v>
      </c>
      <c r="L376" s="1">
        <f>((Fórmulas!C$6/Fórmulas!D$6)/0.7)*K376</f>
        <v>2.4489795918367347</v>
      </c>
      <c r="M376" s="1">
        <f>L376*Fórmulas!D$6</f>
        <v>857.14285714285711</v>
      </c>
    </row>
    <row r="377" spans="1:13" x14ac:dyDescent="0.25">
      <c r="A377" s="3"/>
      <c r="B377" s="25" t="s">
        <v>601</v>
      </c>
      <c r="C377" s="25"/>
      <c r="D377" s="25"/>
      <c r="E377">
        <v>3</v>
      </c>
      <c r="G377" s="1">
        <f>((Fórmulas!C$6/Fórmulas!D$6)/Fórmulas!E$6)*E377</f>
        <v>7.3469387755102042</v>
      </c>
      <c r="H377" s="1">
        <f>G377*Fórmulas!B$9</f>
        <v>2571.4285714285716</v>
      </c>
      <c r="I377" s="7">
        <f t="shared" si="7"/>
        <v>5</v>
      </c>
      <c r="K377" s="1">
        <v>1</v>
      </c>
      <c r="L377" s="1">
        <f>((Fórmulas!C$6/Fórmulas!D$6)/0.7)*K377</f>
        <v>2.4489795918367347</v>
      </c>
      <c r="M377" s="1">
        <f>L377*Fórmulas!D$6</f>
        <v>857.14285714285711</v>
      </c>
    </row>
    <row r="378" spans="1:13" x14ac:dyDescent="0.25">
      <c r="A378" s="3"/>
      <c r="B378" s="25"/>
      <c r="C378" s="25"/>
      <c r="D378" s="25"/>
      <c r="E378">
        <v>0</v>
      </c>
      <c r="G378" s="1">
        <f>((Fórmulas!C$6/Fórmulas!D$6)/Fórmulas!E$6)*E378</f>
        <v>0</v>
      </c>
      <c r="H378" s="1">
        <f>G378*Fórmulas!B$9</f>
        <v>0</v>
      </c>
      <c r="I378" s="7">
        <f t="shared" si="7"/>
        <v>0</v>
      </c>
      <c r="K378" s="1">
        <v>1</v>
      </c>
      <c r="L378" s="1">
        <f>((Fórmulas!C$6/Fórmulas!D$6)/0.7)*K378</f>
        <v>2.4489795918367347</v>
      </c>
      <c r="M378" s="1">
        <f>L378*Fórmulas!D$6</f>
        <v>857.14285714285711</v>
      </c>
    </row>
    <row r="379" spans="1:13" x14ac:dyDescent="0.25">
      <c r="A379" s="3"/>
      <c r="B379" s="25"/>
      <c r="C379" s="25"/>
      <c r="D379" s="25"/>
      <c r="E379">
        <v>0</v>
      </c>
      <c r="G379" s="1">
        <f>((Fórmulas!C$6/Fórmulas!D$6)/Fórmulas!E$6)*E379</f>
        <v>0</v>
      </c>
      <c r="H379" s="1">
        <f>G379*Fórmulas!B$9</f>
        <v>0</v>
      </c>
      <c r="I379" s="7">
        <f t="shared" si="7"/>
        <v>0</v>
      </c>
      <c r="K379" s="1">
        <v>1</v>
      </c>
      <c r="L379" s="1">
        <f>((Fórmulas!C$6/Fórmulas!D$6)/0.7)*K379</f>
        <v>2.4489795918367347</v>
      </c>
      <c r="M379" s="1">
        <f>L379*Fórmulas!D$6</f>
        <v>857.14285714285711</v>
      </c>
    </row>
    <row r="380" spans="1:13" x14ac:dyDescent="0.25">
      <c r="A380" s="3"/>
      <c r="B380" s="25"/>
      <c r="C380" s="25"/>
      <c r="D380" s="25"/>
      <c r="E380">
        <v>0</v>
      </c>
      <c r="G380" s="1">
        <f>((Fórmulas!C$6/Fórmulas!D$6)/Fórmulas!E$6)*E380</f>
        <v>0</v>
      </c>
      <c r="H380" s="1">
        <f>G380*Fórmulas!B$9</f>
        <v>0</v>
      </c>
      <c r="I380" s="7">
        <f t="shared" si="7"/>
        <v>0</v>
      </c>
      <c r="K380" s="1">
        <v>1</v>
      </c>
      <c r="L380" s="1">
        <f>((Fórmulas!C$6/Fórmulas!D$6)/0.7)*K380</f>
        <v>2.4489795918367347</v>
      </c>
      <c r="M380" s="1">
        <f>L380*Fórmulas!D$6</f>
        <v>857.14285714285711</v>
      </c>
    </row>
    <row r="381" spans="1:13" s="3" customFormat="1" x14ac:dyDescent="0.25">
      <c r="B381" s="25"/>
      <c r="C381" s="25"/>
      <c r="D381" s="25"/>
      <c r="E381" s="3">
        <v>0</v>
      </c>
      <c r="F381" s="4"/>
      <c r="G381" s="1">
        <f>((Fórmulas!C$6/Fórmulas!D$6)/Fórmulas!E$6)*E381</f>
        <v>0</v>
      </c>
      <c r="H381" s="1">
        <f>G381*Fórmulas!B$9</f>
        <v>0</v>
      </c>
      <c r="I381" s="7">
        <f t="shared" si="7"/>
        <v>0</v>
      </c>
      <c r="K381" s="1">
        <v>1</v>
      </c>
      <c r="L381" s="1">
        <f>((Fórmulas!C$6/Fórmulas!D$6)/0.7)*K381</f>
        <v>2.4489795918367347</v>
      </c>
      <c r="M381" s="1">
        <f>L381*Fórmulas!D$6</f>
        <v>857.14285714285711</v>
      </c>
    </row>
    <row r="382" spans="1:13" s="3" customFormat="1" x14ac:dyDescent="0.25">
      <c r="B382" s="25"/>
      <c r="C382" s="25"/>
      <c r="D382" s="25"/>
      <c r="E382" s="3">
        <v>0</v>
      </c>
      <c r="F382" s="4"/>
      <c r="G382" s="1">
        <f>((Fórmulas!C$6/Fórmulas!D$6)/Fórmulas!E$6)*E382</f>
        <v>0</v>
      </c>
      <c r="H382" s="1">
        <f>G382*Fórmulas!B$9</f>
        <v>0</v>
      </c>
      <c r="I382" s="7">
        <f t="shared" si="7"/>
        <v>0</v>
      </c>
      <c r="K382" s="1">
        <v>1</v>
      </c>
      <c r="L382" s="1">
        <f>((Fórmulas!C$6/Fórmulas!D$6)/0.7)*K382</f>
        <v>2.4489795918367347</v>
      </c>
      <c r="M382" s="1">
        <f>L382*Fórmulas!D$6</f>
        <v>857.14285714285711</v>
      </c>
    </row>
    <row r="383" spans="1:13" s="3" customFormat="1" x14ac:dyDescent="0.25">
      <c r="B383" s="27"/>
      <c r="C383" s="27"/>
      <c r="D383" s="27"/>
      <c r="E383" s="3">
        <v>0</v>
      </c>
      <c r="F383" s="4"/>
      <c r="G383" s="1">
        <f>((Fórmulas!C$6/Fórmulas!D$6)/Fórmulas!E$6)*E383</f>
        <v>0</v>
      </c>
      <c r="H383" s="1">
        <f>G383*Fórmulas!B$9</f>
        <v>0</v>
      </c>
      <c r="I383" s="7">
        <f t="shared" si="7"/>
        <v>0</v>
      </c>
      <c r="K383" s="1">
        <v>1</v>
      </c>
      <c r="L383" s="1">
        <f>((Fórmulas!C$6/Fórmulas!D$6)/0.7)*K383</f>
        <v>2.4489795918367347</v>
      </c>
      <c r="M383" s="1">
        <f>L383*Fórmulas!D$6</f>
        <v>857.14285714285711</v>
      </c>
    </row>
    <row r="384" spans="1:13" x14ac:dyDescent="0.25">
      <c r="A384" s="3"/>
      <c r="B384" s="27"/>
      <c r="C384" s="27"/>
      <c r="D384" s="27"/>
      <c r="E384" s="3">
        <v>0</v>
      </c>
      <c r="G384" s="1">
        <f>((Fórmulas!C$6/Fórmulas!D$6)/Fórmulas!E$6)*E384</f>
        <v>0</v>
      </c>
      <c r="H384" s="1">
        <f>G384*Fórmulas!B$9</f>
        <v>0</v>
      </c>
      <c r="I384" s="7">
        <f t="shared" si="7"/>
        <v>0</v>
      </c>
      <c r="J384" s="3"/>
      <c r="K384" s="1">
        <v>1</v>
      </c>
      <c r="L384" s="1">
        <f>((Fórmulas!C$6/Fórmulas!D$6)/0.7)*K384</f>
        <v>2.4489795918367347</v>
      </c>
      <c r="M384" s="1">
        <f>L384*Fórmulas!D$6</f>
        <v>857.14285714285711</v>
      </c>
    </row>
    <row r="385" spans="1:13" x14ac:dyDescent="0.25">
      <c r="A385" s="3" t="s">
        <v>740</v>
      </c>
      <c r="B385" s="27" t="s">
        <v>741</v>
      </c>
      <c r="C385" s="27"/>
      <c r="D385" s="27"/>
      <c r="E385" s="3">
        <v>11</v>
      </c>
      <c r="G385" s="1">
        <f>((Fórmulas!C$6/Fórmulas!D$6)/Fórmulas!E$6)*E385</f>
        <v>26.938775510204081</v>
      </c>
      <c r="H385" s="1">
        <f>G385*Fórmulas!B$9</f>
        <v>9428.5714285714294</v>
      </c>
      <c r="I385" s="7">
        <f t="shared" si="7"/>
        <v>18.333333333333336</v>
      </c>
      <c r="J385" s="3"/>
      <c r="K385" s="1">
        <v>1</v>
      </c>
      <c r="L385" s="1">
        <f>((Fórmulas!C$6/Fórmulas!D$6)/0.7)*K385</f>
        <v>2.4489795918367347</v>
      </c>
      <c r="M385" s="1">
        <f>L385*Fórmulas!D$6</f>
        <v>857.14285714285711</v>
      </c>
    </row>
    <row r="386" spans="1:13" x14ac:dyDescent="0.25">
      <c r="A386" s="22" t="s">
        <v>740</v>
      </c>
      <c r="B386" s="27" t="s">
        <v>816</v>
      </c>
      <c r="C386" s="27"/>
      <c r="D386" s="27"/>
      <c r="E386">
        <v>11</v>
      </c>
      <c r="G386" s="1">
        <f>((Fórmulas!C$6/Fórmulas!D$6)/Fórmulas!E$6)*E386</f>
        <v>26.938775510204081</v>
      </c>
      <c r="H386" s="1">
        <f>G386*Fórmulas!B$9</f>
        <v>9428.5714285714294</v>
      </c>
      <c r="I386" s="7">
        <f t="shared" si="7"/>
        <v>18.333333333333336</v>
      </c>
      <c r="K386" s="1">
        <v>1</v>
      </c>
      <c r="L386" s="1">
        <f>((Fórmulas!C$6/Fórmulas!D$6)/0.7)*K386</f>
        <v>2.4489795918367347</v>
      </c>
      <c r="M386" s="1">
        <f>L386*Fórmulas!D$6</f>
        <v>857.14285714285711</v>
      </c>
    </row>
    <row r="387" spans="1:13" x14ac:dyDescent="0.25">
      <c r="A387" s="22" t="s">
        <v>740</v>
      </c>
      <c r="B387" s="27" t="s">
        <v>742</v>
      </c>
      <c r="C387" s="27"/>
      <c r="D387" s="27"/>
      <c r="E387">
        <v>8.3000000000000007</v>
      </c>
      <c r="G387" s="1">
        <f>((Fórmulas!C$6/Fórmulas!D$6)/Fórmulas!E$6)*E387</f>
        <v>20.326530612244902</v>
      </c>
      <c r="H387" s="1">
        <f>G387*Fórmulas!B$9</f>
        <v>7114.2857142857156</v>
      </c>
      <c r="I387" s="7">
        <f t="shared" si="7"/>
        <v>13.833333333333336</v>
      </c>
      <c r="K387" s="1">
        <v>1</v>
      </c>
      <c r="L387" s="1">
        <f>((Fórmulas!C$6/Fórmulas!D$6)/0.7)*K387</f>
        <v>2.4489795918367347</v>
      </c>
      <c r="M387" s="1">
        <f>L387*Fórmulas!D$6</f>
        <v>857.14285714285711</v>
      </c>
    </row>
    <row r="388" spans="1:13" s="3" customFormat="1" x14ac:dyDescent="0.25">
      <c r="A388" s="22" t="s">
        <v>740</v>
      </c>
      <c r="B388" s="27" t="s">
        <v>743</v>
      </c>
      <c r="C388" s="27"/>
      <c r="D388" s="27"/>
      <c r="E388" s="3">
        <v>11</v>
      </c>
      <c r="F388" s="4"/>
      <c r="G388" s="1">
        <f>((Fórmulas!C$6/Fórmulas!D$6)/Fórmulas!E$6)*E388</f>
        <v>26.938775510204081</v>
      </c>
      <c r="H388" s="1">
        <f>G388*Fórmulas!B$9</f>
        <v>9428.5714285714294</v>
      </c>
      <c r="I388" s="7">
        <f t="shared" si="7"/>
        <v>18.333333333333336</v>
      </c>
      <c r="K388" s="1">
        <v>1</v>
      </c>
      <c r="L388" s="1">
        <f>((Fórmulas!C$6/Fórmulas!D$6)/0.7)*K388</f>
        <v>2.4489795918367347</v>
      </c>
      <c r="M388" s="1">
        <f>L388*Fórmulas!D$6</f>
        <v>857.14285714285711</v>
      </c>
    </row>
    <row r="389" spans="1:13" x14ac:dyDescent="0.25">
      <c r="A389" s="22" t="s">
        <v>740</v>
      </c>
      <c r="B389" s="27" t="s">
        <v>744</v>
      </c>
      <c r="C389" s="27"/>
      <c r="D389" s="27"/>
      <c r="E389" s="3">
        <v>7</v>
      </c>
      <c r="G389" s="1">
        <f>((Fórmulas!C$6/Fórmulas!D$6)/Fórmulas!E$6)*E389</f>
        <v>17.142857142857142</v>
      </c>
      <c r="H389" s="1">
        <f>G389*Fórmulas!B$9</f>
        <v>6000</v>
      </c>
      <c r="I389" s="7">
        <f t="shared" si="7"/>
        <v>11.666666666666668</v>
      </c>
      <c r="J389" s="3"/>
      <c r="K389" s="1">
        <v>1</v>
      </c>
      <c r="L389" s="1">
        <f>((Fórmulas!C$6/Fórmulas!D$6)/0.7)*K389</f>
        <v>2.4489795918367347</v>
      </c>
      <c r="M389" s="1">
        <f>L389*Fórmulas!D$6</f>
        <v>857.14285714285711</v>
      </c>
    </row>
    <row r="390" spans="1:13" x14ac:dyDescent="0.25">
      <c r="A390" s="22" t="s">
        <v>740</v>
      </c>
      <c r="B390" s="27" t="s">
        <v>745</v>
      </c>
      <c r="C390" s="27"/>
      <c r="D390" s="27"/>
      <c r="E390" s="19">
        <v>7</v>
      </c>
      <c r="F390" s="19"/>
      <c r="G390" s="1">
        <f>((Fórmulas!C$6/Fórmulas!D$6)/Fórmulas!E$6)*E390</f>
        <v>17.142857142857142</v>
      </c>
      <c r="H390" s="1">
        <f>G390*Fórmulas!B$9</f>
        <v>6000</v>
      </c>
      <c r="I390" s="7">
        <f t="shared" si="7"/>
        <v>11.666666666666668</v>
      </c>
      <c r="J390" s="20"/>
      <c r="K390" s="1">
        <v>1</v>
      </c>
      <c r="L390" s="1">
        <f>((Fórmulas!C$6/Fórmulas!D$6)/0.7)*K390</f>
        <v>2.4489795918367347</v>
      </c>
      <c r="M390" s="1">
        <f>L390*Fórmulas!D$6</f>
        <v>857.14285714285711</v>
      </c>
    </row>
    <row r="391" spans="1:13" x14ac:dyDescent="0.25">
      <c r="A391" s="22" t="s">
        <v>740</v>
      </c>
      <c r="B391" s="27" t="s">
        <v>746</v>
      </c>
      <c r="C391" s="27"/>
      <c r="D391" s="27"/>
      <c r="E391" s="3">
        <v>8.3000000000000007</v>
      </c>
      <c r="G391" s="1">
        <f>((Fórmulas!C$6/Fórmulas!D$6)/Fórmulas!E$6)*E391</f>
        <v>20.326530612244902</v>
      </c>
      <c r="H391" s="1">
        <f>G391*Fórmulas!B$9</f>
        <v>7114.2857142857156</v>
      </c>
      <c r="I391" s="7">
        <f t="shared" si="7"/>
        <v>13.833333333333336</v>
      </c>
      <c r="J391" s="3"/>
      <c r="K391" s="1">
        <v>1</v>
      </c>
      <c r="L391" s="1">
        <f>((Fórmulas!C$6/Fórmulas!D$6)/0.7)*K391</f>
        <v>2.4489795918367347</v>
      </c>
      <c r="M391" s="1">
        <f>L391*Fórmulas!D$6</f>
        <v>857.14285714285711</v>
      </c>
    </row>
    <row r="392" spans="1:13" x14ac:dyDescent="0.25">
      <c r="A392" s="22" t="s">
        <v>740</v>
      </c>
      <c r="B392" s="27" t="s">
        <v>747</v>
      </c>
      <c r="C392" s="27"/>
      <c r="D392" s="27"/>
      <c r="E392" s="3">
        <v>8</v>
      </c>
      <c r="G392" s="1">
        <f>((Fórmulas!C$6/Fórmulas!D$6)/Fórmulas!E$6)*E392</f>
        <v>19.591836734693878</v>
      </c>
      <c r="H392" s="1">
        <f>G392*Fórmulas!B$9</f>
        <v>6857.1428571428569</v>
      </c>
      <c r="I392" s="7">
        <f t="shared" si="7"/>
        <v>13.333333333333334</v>
      </c>
      <c r="J392" s="3"/>
      <c r="K392" s="1">
        <v>1</v>
      </c>
      <c r="L392" s="1">
        <f>((Fórmulas!C$6/Fórmulas!D$6)/0.7)*K392</f>
        <v>2.4489795918367347</v>
      </c>
      <c r="M392" s="1">
        <f>L392*Fórmulas!D$6</f>
        <v>857.14285714285711</v>
      </c>
    </row>
    <row r="393" spans="1:13" x14ac:dyDescent="0.25">
      <c r="A393" s="22" t="s">
        <v>740</v>
      </c>
      <c r="B393" s="27" t="s">
        <v>748</v>
      </c>
      <c r="C393" s="27"/>
      <c r="D393" s="27"/>
      <c r="E393" s="3">
        <v>8</v>
      </c>
      <c r="G393" s="1">
        <f>((Fórmulas!C$6/Fórmulas!D$6)/Fórmulas!E$6)*E393</f>
        <v>19.591836734693878</v>
      </c>
      <c r="H393" s="1">
        <f>G393*Fórmulas!B$9</f>
        <v>6857.1428571428569</v>
      </c>
      <c r="I393" s="7">
        <f t="shared" si="7"/>
        <v>13.333333333333334</v>
      </c>
      <c r="J393" s="3"/>
      <c r="K393" s="1">
        <v>1</v>
      </c>
      <c r="L393" s="1">
        <f>((Fórmulas!C$6/Fórmulas!D$6)/0.7)*K393</f>
        <v>2.4489795918367347</v>
      </c>
      <c r="M393" s="1">
        <f>L393*Fórmulas!D$6</f>
        <v>857.14285714285711</v>
      </c>
    </row>
    <row r="394" spans="1:13" x14ac:dyDescent="0.25">
      <c r="A394" s="22" t="s">
        <v>740</v>
      </c>
      <c r="B394" s="39" t="s">
        <v>749</v>
      </c>
      <c r="C394" s="39"/>
      <c r="D394" s="39"/>
      <c r="E394" s="3">
        <v>5.5</v>
      </c>
      <c r="G394" s="1">
        <f>((Fórmulas!C$6/Fórmulas!D$6)/Fórmulas!E$6)*E394</f>
        <v>13.469387755102041</v>
      </c>
      <c r="H394" s="1">
        <f>G394*Fórmulas!B$9</f>
        <v>4714.2857142857147</v>
      </c>
      <c r="I394" s="7">
        <f t="shared" si="7"/>
        <v>9.1666666666666679</v>
      </c>
      <c r="J394" s="3"/>
      <c r="K394" s="1">
        <v>1</v>
      </c>
      <c r="L394" s="1">
        <f>((Fórmulas!C$6/Fórmulas!D$6)/0.7)*K394</f>
        <v>2.4489795918367347</v>
      </c>
      <c r="M394" s="1">
        <f>L394*Fórmulas!D$6</f>
        <v>857.14285714285711</v>
      </c>
    </row>
    <row r="395" spans="1:13" x14ac:dyDescent="0.25">
      <c r="A395" s="22" t="s">
        <v>740</v>
      </c>
      <c r="B395" s="27" t="s">
        <v>750</v>
      </c>
      <c r="C395" s="27"/>
      <c r="D395" s="27"/>
      <c r="E395">
        <v>5.5</v>
      </c>
      <c r="G395" s="1">
        <f>((Fórmulas!C$6/Fórmulas!D$6)/Fórmulas!E$6)*E395</f>
        <v>13.469387755102041</v>
      </c>
      <c r="H395" s="1">
        <f>G395*Fórmulas!B$9</f>
        <v>4714.2857142857147</v>
      </c>
      <c r="I395" s="7">
        <f t="shared" si="7"/>
        <v>9.1666666666666679</v>
      </c>
      <c r="K395" s="1">
        <v>1</v>
      </c>
      <c r="L395" s="1">
        <f>((Fórmulas!C$6/Fórmulas!D$6)/0.7)*K395</f>
        <v>2.4489795918367347</v>
      </c>
      <c r="M395" s="1">
        <f>L395*Fórmulas!D$6</f>
        <v>857.14285714285711</v>
      </c>
    </row>
    <row r="396" spans="1:13" x14ac:dyDescent="0.25">
      <c r="A396" s="22" t="s">
        <v>740</v>
      </c>
      <c r="B396" s="27" t="s">
        <v>751</v>
      </c>
      <c r="C396" s="27"/>
      <c r="D396" s="27"/>
      <c r="E396" s="11">
        <v>6.95</v>
      </c>
      <c r="G396" s="1">
        <f>((Fórmulas!C$6/Fórmulas!D$6)/Fórmulas!E$6)*E396</f>
        <v>17.020408163265309</v>
      </c>
      <c r="H396" s="1">
        <f>G396*Fórmulas!B$9</f>
        <v>5957.1428571428578</v>
      </c>
      <c r="I396" s="7">
        <f t="shared" si="7"/>
        <v>11.583333333333334</v>
      </c>
      <c r="K396" s="1">
        <v>1</v>
      </c>
      <c r="L396" s="1">
        <f>((Fórmulas!C$6/Fórmulas!D$6)/0.7)*K396</f>
        <v>2.4489795918367347</v>
      </c>
      <c r="M396" s="1">
        <f>L396*Fórmulas!D$6</f>
        <v>857.14285714285711</v>
      </c>
    </row>
    <row r="397" spans="1:13" x14ac:dyDescent="0.25">
      <c r="A397" s="22" t="s">
        <v>740</v>
      </c>
      <c r="B397" s="27" t="s">
        <v>752</v>
      </c>
      <c r="C397" s="27"/>
      <c r="D397" s="27"/>
      <c r="E397" s="11">
        <v>9</v>
      </c>
      <c r="G397" s="1">
        <f>((Fórmulas!C$6/Fórmulas!D$6)/Fórmulas!E$6)*E397</f>
        <v>22.040816326530614</v>
      </c>
      <c r="H397" s="1">
        <f>G397*Fórmulas!B$9</f>
        <v>7714.2857142857147</v>
      </c>
      <c r="I397" s="7">
        <f t="shared" si="7"/>
        <v>15</v>
      </c>
      <c r="K397" s="1">
        <v>1</v>
      </c>
      <c r="L397" s="1">
        <f>((Fórmulas!C$6/Fórmulas!D$6)/0.7)*K397</f>
        <v>2.4489795918367347</v>
      </c>
      <c r="M397" s="1">
        <f>L397*Fórmulas!D$6</f>
        <v>857.14285714285711</v>
      </c>
    </row>
    <row r="398" spans="1:13" x14ac:dyDescent="0.25">
      <c r="A398" s="22" t="s">
        <v>740</v>
      </c>
      <c r="B398" s="27" t="s">
        <v>753</v>
      </c>
      <c r="C398" s="27"/>
      <c r="D398" s="27"/>
      <c r="E398" s="11">
        <v>6.95</v>
      </c>
      <c r="G398" s="1">
        <f>((Fórmulas!C$6/Fórmulas!D$6)/Fórmulas!E$6)*E398</f>
        <v>17.020408163265309</v>
      </c>
      <c r="H398" s="1">
        <f>G398*Fórmulas!B$9</f>
        <v>5957.1428571428578</v>
      </c>
      <c r="I398" s="7">
        <f t="shared" si="7"/>
        <v>11.583333333333334</v>
      </c>
      <c r="K398" s="1">
        <v>1</v>
      </c>
      <c r="L398" s="1">
        <f>((Fórmulas!C$6/Fórmulas!D$6)/0.7)*K398</f>
        <v>2.4489795918367347</v>
      </c>
      <c r="M398" s="1">
        <f>L398*Fórmulas!D$6</f>
        <v>857.14285714285711</v>
      </c>
    </row>
    <row r="399" spans="1:13" x14ac:dyDescent="0.25">
      <c r="A399" s="3"/>
      <c r="B399" s="30"/>
      <c r="C399" s="27"/>
      <c r="D399" s="27"/>
      <c r="E399" s="11">
        <v>0</v>
      </c>
      <c r="G399" s="1">
        <f>((Fórmulas!C$6/Fórmulas!D$6)/Fórmulas!E$6)*E399</f>
        <v>0</v>
      </c>
      <c r="H399" s="1">
        <f>G399*Fórmulas!B$9</f>
        <v>0</v>
      </c>
      <c r="I399" s="7">
        <f t="shared" si="7"/>
        <v>0</v>
      </c>
      <c r="K399" s="1">
        <v>1</v>
      </c>
      <c r="L399" s="1">
        <f>((Fórmulas!C$6/Fórmulas!D$6)/0.7)*K399</f>
        <v>2.4489795918367347</v>
      </c>
      <c r="M399" s="1">
        <f>L399*Fórmulas!D$6</f>
        <v>857.14285714285711</v>
      </c>
    </row>
    <row r="400" spans="1:13" x14ac:dyDescent="0.25">
      <c r="A400" s="22" t="s">
        <v>754</v>
      </c>
      <c r="B400" s="27" t="s">
        <v>773</v>
      </c>
      <c r="C400" s="27"/>
      <c r="D400" s="27"/>
      <c r="E400" s="11">
        <v>14.3</v>
      </c>
      <c r="G400" s="1">
        <f>((Fórmulas!C$6/Fórmulas!D$6)/Fórmulas!E$6)*E400</f>
        <v>35.020408163265309</v>
      </c>
      <c r="H400" s="1">
        <f>G400*Fórmulas!B$9</f>
        <v>12257.142857142859</v>
      </c>
      <c r="I400" s="7">
        <f t="shared" si="7"/>
        <v>23.833333333333336</v>
      </c>
      <c r="K400" s="1">
        <v>1</v>
      </c>
      <c r="L400" s="1">
        <f>((Fórmulas!C$6/Fórmulas!D$6)/0.7)*K400</f>
        <v>2.4489795918367347</v>
      </c>
      <c r="M400" s="1">
        <f>L400*Fórmulas!D$6</f>
        <v>857.14285714285711</v>
      </c>
    </row>
    <row r="401" spans="1:13" x14ac:dyDescent="0.25">
      <c r="A401" s="22" t="s">
        <v>754</v>
      </c>
      <c r="B401" s="29" t="s">
        <v>772</v>
      </c>
      <c r="C401" s="27"/>
      <c r="D401" s="27"/>
      <c r="E401" s="11">
        <v>20</v>
      </c>
      <c r="G401" s="1">
        <f>((Fórmulas!C$6/Fórmulas!D$6)/Fórmulas!E$6)*E401</f>
        <v>48.979591836734699</v>
      </c>
      <c r="H401" s="1">
        <f>G401*Fórmulas!B$9</f>
        <v>17142.857142857145</v>
      </c>
      <c r="I401" s="7">
        <f t="shared" ref="I401:I495" si="8">E401/0.6</f>
        <v>33.333333333333336</v>
      </c>
      <c r="K401" s="1">
        <v>1</v>
      </c>
      <c r="L401" s="1">
        <f>((Fórmulas!C$6/Fórmulas!D$6)/0.7)*K401</f>
        <v>2.4489795918367347</v>
      </c>
      <c r="M401" s="1">
        <f>L401*Fórmulas!D$6</f>
        <v>857.14285714285711</v>
      </c>
    </row>
    <row r="402" spans="1:13" x14ac:dyDescent="0.25">
      <c r="A402" s="22" t="s">
        <v>754</v>
      </c>
      <c r="B402" s="27" t="s">
        <v>768</v>
      </c>
      <c r="C402" s="27"/>
      <c r="D402" s="27"/>
      <c r="E402" s="11">
        <v>13.1</v>
      </c>
      <c r="G402" s="1">
        <f>((Fórmulas!C$6/Fórmulas!D$6)/Fórmulas!E$6)*E402</f>
        <v>32.081632653061227</v>
      </c>
      <c r="H402" s="1">
        <f>G402*Fórmulas!B$9</f>
        <v>11228.571428571429</v>
      </c>
      <c r="I402" s="7">
        <f t="shared" si="8"/>
        <v>21.833333333333332</v>
      </c>
      <c r="K402" s="1">
        <v>1</v>
      </c>
      <c r="L402" s="1">
        <f>((Fórmulas!C$6/Fórmulas!D$6)/0.7)*K402</f>
        <v>2.4489795918367347</v>
      </c>
      <c r="M402" s="1">
        <f>L402*Fórmulas!D$6</f>
        <v>857.14285714285711</v>
      </c>
    </row>
    <row r="403" spans="1:13" x14ac:dyDescent="0.25">
      <c r="A403" s="3" t="s">
        <v>754</v>
      </c>
      <c r="B403" s="27" t="s">
        <v>755</v>
      </c>
      <c r="C403" s="27"/>
      <c r="D403" s="27"/>
      <c r="E403" s="11">
        <v>13.1</v>
      </c>
      <c r="G403" s="1">
        <f>((Fórmulas!C$6/Fórmulas!D$6)/Fórmulas!E$6)*E403</f>
        <v>32.081632653061227</v>
      </c>
      <c r="H403" s="1">
        <f>G403*Fórmulas!B$9</f>
        <v>11228.571428571429</v>
      </c>
      <c r="I403" s="7">
        <f t="shared" si="8"/>
        <v>21.833333333333332</v>
      </c>
      <c r="K403" s="1">
        <v>1</v>
      </c>
      <c r="L403" s="1">
        <f>((Fórmulas!C$6/Fórmulas!D$6)/0.7)*K403</f>
        <v>2.4489795918367347</v>
      </c>
      <c r="M403" s="1">
        <f>L403*Fórmulas!D$6</f>
        <v>857.14285714285711</v>
      </c>
    </row>
    <row r="404" spans="1:13" x14ac:dyDescent="0.25">
      <c r="A404" s="22" t="s">
        <v>754</v>
      </c>
      <c r="B404" s="27" t="s">
        <v>756</v>
      </c>
      <c r="C404" s="27"/>
      <c r="D404" s="27"/>
      <c r="E404">
        <v>12.3</v>
      </c>
      <c r="G404" s="1">
        <f>((Fórmulas!C$6/Fórmulas!D$6)/Fórmulas!E$6)*E404</f>
        <v>30.122448979591841</v>
      </c>
      <c r="H404" s="1">
        <f>G404*Fórmulas!B$9</f>
        <v>10542.857142857145</v>
      </c>
      <c r="I404" s="7">
        <f t="shared" si="8"/>
        <v>20.500000000000004</v>
      </c>
      <c r="K404" s="1">
        <v>1</v>
      </c>
      <c r="L404" s="1">
        <f>((Fórmulas!C$6/Fórmulas!D$6)/0.7)*K404</f>
        <v>2.4489795918367347</v>
      </c>
      <c r="M404" s="1">
        <f>L404*Fórmulas!D$6</f>
        <v>857.14285714285711</v>
      </c>
    </row>
    <row r="405" spans="1:13" x14ac:dyDescent="0.25">
      <c r="A405" s="22" t="s">
        <v>754</v>
      </c>
      <c r="B405" s="27" t="s">
        <v>757</v>
      </c>
      <c r="C405" s="27"/>
      <c r="D405" s="27"/>
      <c r="E405">
        <v>14.3</v>
      </c>
      <c r="G405" s="1">
        <f>((Fórmulas!C$6/Fórmulas!D$6)/Fórmulas!E$6)*E405</f>
        <v>35.020408163265309</v>
      </c>
      <c r="H405" s="1">
        <f>G405*Fórmulas!B$9</f>
        <v>12257.142857142859</v>
      </c>
      <c r="I405" s="7">
        <f t="shared" si="8"/>
        <v>23.833333333333336</v>
      </c>
      <c r="K405" s="1">
        <v>1</v>
      </c>
      <c r="L405" s="1">
        <f>((Fórmulas!C$6/Fórmulas!D$6)/0.7)*K405</f>
        <v>2.4489795918367347</v>
      </c>
      <c r="M405" s="1">
        <f>L405*Fórmulas!D$6</f>
        <v>857.14285714285711</v>
      </c>
    </row>
    <row r="406" spans="1:13" x14ac:dyDescent="0.25">
      <c r="A406" s="22" t="s">
        <v>754</v>
      </c>
      <c r="B406" s="27" t="s">
        <v>758</v>
      </c>
      <c r="C406" s="27"/>
      <c r="D406" s="27"/>
      <c r="E406">
        <v>20</v>
      </c>
      <c r="G406" s="1">
        <f>((Fórmulas!C$6/Fórmulas!D$6)/Fórmulas!E$6)*E406</f>
        <v>48.979591836734699</v>
      </c>
      <c r="H406" s="1">
        <f>G406*Fórmulas!B$9</f>
        <v>17142.857142857145</v>
      </c>
      <c r="I406" s="7">
        <f t="shared" si="8"/>
        <v>33.333333333333336</v>
      </c>
      <c r="K406" s="1">
        <v>1</v>
      </c>
      <c r="L406" s="1">
        <f>((Fórmulas!C$6/Fórmulas!D$6)/0.7)*K406</f>
        <v>2.4489795918367347</v>
      </c>
      <c r="M406" s="1">
        <f>L406*Fórmulas!D$6</f>
        <v>857.14285714285711</v>
      </c>
    </row>
    <row r="407" spans="1:13" s="22" customFormat="1" x14ac:dyDescent="0.25">
      <c r="A407" s="22" t="s">
        <v>754</v>
      </c>
      <c r="B407" s="27" t="s">
        <v>799</v>
      </c>
      <c r="C407" s="27"/>
      <c r="D407" s="27"/>
      <c r="E407" s="22">
        <v>20</v>
      </c>
      <c r="G407" s="1">
        <f>((Fórmulas!C$6/Fórmulas!D$6)/Fórmulas!E$6)*E407</f>
        <v>48.979591836734699</v>
      </c>
      <c r="H407" s="1">
        <f>G407*Fórmulas!B$9</f>
        <v>17142.857142857145</v>
      </c>
      <c r="I407" s="7">
        <f t="shared" ref="I407:I415" si="9">E407/0.6</f>
        <v>33.333333333333336</v>
      </c>
      <c r="K407" s="1">
        <v>1</v>
      </c>
      <c r="L407" s="1">
        <f>((Fórmulas!C$6/Fórmulas!D$6)/0.7)*K407</f>
        <v>2.4489795918367347</v>
      </c>
      <c r="M407" s="1">
        <f>L407*Fórmulas!D$6</f>
        <v>857.14285714285711</v>
      </c>
    </row>
    <row r="408" spans="1:13" s="22" customFormat="1" x14ac:dyDescent="0.25">
      <c r="A408" s="22" t="s">
        <v>754</v>
      </c>
      <c r="B408" s="27"/>
      <c r="C408" s="27"/>
      <c r="D408" s="27"/>
      <c r="E408" s="22">
        <v>0</v>
      </c>
      <c r="G408" s="1">
        <f>((Fórmulas!C$6/Fórmulas!D$6)/Fórmulas!E$6)*E408</f>
        <v>0</v>
      </c>
      <c r="H408" s="1">
        <f>G408*Fórmulas!B$9</f>
        <v>0</v>
      </c>
      <c r="I408" s="7">
        <f t="shared" si="9"/>
        <v>0</v>
      </c>
      <c r="K408" s="1">
        <v>1</v>
      </c>
      <c r="L408" s="1">
        <f>((Fórmulas!C$6/Fórmulas!D$6)/0.7)*K408</f>
        <v>2.4489795918367347</v>
      </c>
      <c r="M408" s="1">
        <f>L408*Fórmulas!D$6</f>
        <v>857.14285714285711</v>
      </c>
    </row>
    <row r="409" spans="1:13" s="22" customFormat="1" x14ac:dyDescent="0.25">
      <c r="A409" s="22" t="s">
        <v>754</v>
      </c>
      <c r="B409" s="27"/>
      <c r="C409" s="27"/>
      <c r="D409" s="27"/>
      <c r="E409" s="22">
        <v>0</v>
      </c>
      <c r="G409" s="1">
        <f>((Fórmulas!C$6/Fórmulas!D$6)/Fórmulas!E$6)*E409</f>
        <v>0</v>
      </c>
      <c r="H409" s="1">
        <f>G409*Fórmulas!B$9</f>
        <v>0</v>
      </c>
      <c r="I409" s="7">
        <f t="shared" si="9"/>
        <v>0</v>
      </c>
      <c r="K409" s="1">
        <v>1</v>
      </c>
      <c r="L409" s="1">
        <f>((Fórmulas!C$6/Fórmulas!D$6)/0.7)*K409</f>
        <v>2.4489795918367347</v>
      </c>
      <c r="M409" s="1">
        <f>L409*Fórmulas!D$6</f>
        <v>857.14285714285711</v>
      </c>
    </row>
    <row r="410" spans="1:13" s="22" customFormat="1" x14ac:dyDescent="0.25">
      <c r="A410" s="22" t="s">
        <v>754</v>
      </c>
      <c r="B410" s="27" t="s">
        <v>804</v>
      </c>
      <c r="C410" s="27"/>
      <c r="D410" s="27"/>
      <c r="E410" s="22">
        <v>8</v>
      </c>
      <c r="G410" s="1">
        <f>((Fórmulas!C$6/Fórmulas!D$6)/Fórmulas!E$6)*E410</f>
        <v>19.591836734693878</v>
      </c>
      <c r="H410" s="1">
        <f>G410*Fórmulas!B$9</f>
        <v>6857.1428571428569</v>
      </c>
      <c r="I410" s="7">
        <f t="shared" si="9"/>
        <v>13.333333333333334</v>
      </c>
      <c r="K410" s="1">
        <v>1</v>
      </c>
      <c r="L410" s="1">
        <f>((Fórmulas!C$6/Fórmulas!D$6)/0.7)*K410</f>
        <v>2.4489795918367347</v>
      </c>
      <c r="M410" s="1">
        <f>L410*Fórmulas!D$6</f>
        <v>857.14285714285711</v>
      </c>
    </row>
    <row r="411" spans="1:13" s="22" customFormat="1" x14ac:dyDescent="0.25">
      <c r="A411" s="22" t="s">
        <v>754</v>
      </c>
      <c r="B411" s="27"/>
      <c r="C411" s="27"/>
      <c r="D411" s="27"/>
      <c r="E411" s="22">
        <v>0</v>
      </c>
      <c r="G411" s="1">
        <f>((Fórmulas!C$6/Fórmulas!D$6)/Fórmulas!E$6)*E411</f>
        <v>0</v>
      </c>
      <c r="H411" s="1">
        <f>G411*Fórmulas!B$9</f>
        <v>0</v>
      </c>
      <c r="I411" s="7">
        <f t="shared" si="9"/>
        <v>0</v>
      </c>
      <c r="K411" s="1">
        <v>1</v>
      </c>
      <c r="L411" s="1">
        <f>((Fórmulas!C$6/Fórmulas!D$6)/0.7)*K411</f>
        <v>2.4489795918367347</v>
      </c>
      <c r="M411" s="1">
        <f>L411*Fórmulas!D$6</f>
        <v>857.14285714285711</v>
      </c>
    </row>
    <row r="412" spans="1:13" s="22" customFormat="1" x14ac:dyDescent="0.25">
      <c r="A412" s="22" t="s">
        <v>754</v>
      </c>
      <c r="B412" s="27"/>
      <c r="C412" s="27"/>
      <c r="D412" s="27"/>
      <c r="E412" s="22">
        <v>0</v>
      </c>
      <c r="G412" s="1">
        <f>((Fórmulas!C$6/Fórmulas!D$6)/Fórmulas!E$6)*E412</f>
        <v>0</v>
      </c>
      <c r="H412" s="1">
        <f>G412*Fórmulas!B$9</f>
        <v>0</v>
      </c>
      <c r="I412" s="7">
        <f t="shared" si="9"/>
        <v>0</v>
      </c>
      <c r="K412" s="1">
        <v>1</v>
      </c>
      <c r="L412" s="1">
        <f>((Fórmulas!C$6/Fórmulas!D$6)/0.7)*K412</f>
        <v>2.4489795918367347</v>
      </c>
      <c r="M412" s="1">
        <f>L412*Fórmulas!D$6</f>
        <v>857.14285714285711</v>
      </c>
    </row>
    <row r="413" spans="1:13" s="22" customFormat="1" x14ac:dyDescent="0.25">
      <c r="A413" s="22" t="s">
        <v>754</v>
      </c>
      <c r="B413" s="27"/>
      <c r="C413" s="27"/>
      <c r="D413" s="27"/>
      <c r="E413" s="22">
        <v>0</v>
      </c>
      <c r="G413" s="1">
        <f>((Fórmulas!C$6/Fórmulas!D$6)/Fórmulas!E$6)*E413</f>
        <v>0</v>
      </c>
      <c r="H413" s="1">
        <f>G413*Fórmulas!B$9</f>
        <v>0</v>
      </c>
      <c r="I413" s="7">
        <f t="shared" si="9"/>
        <v>0</v>
      </c>
      <c r="K413" s="1">
        <v>1</v>
      </c>
      <c r="L413" s="1">
        <f>((Fórmulas!C$6/Fórmulas!D$6)/0.7)*K413</f>
        <v>2.4489795918367347</v>
      </c>
      <c r="M413" s="1">
        <f>L413*Fórmulas!D$6</f>
        <v>857.14285714285711</v>
      </c>
    </row>
    <row r="414" spans="1:13" s="22" customFormat="1" x14ac:dyDescent="0.25">
      <c r="A414" s="22" t="s">
        <v>754</v>
      </c>
      <c r="B414" s="27"/>
      <c r="C414" s="27"/>
      <c r="D414" s="27"/>
      <c r="E414" s="22">
        <v>0</v>
      </c>
      <c r="G414" s="1">
        <f>((Fórmulas!C$6/Fórmulas!D$6)/Fórmulas!E$6)*E414</f>
        <v>0</v>
      </c>
      <c r="H414" s="1">
        <f>G414*Fórmulas!B$9</f>
        <v>0</v>
      </c>
      <c r="I414" s="7">
        <f t="shared" si="9"/>
        <v>0</v>
      </c>
      <c r="K414" s="1">
        <v>1</v>
      </c>
      <c r="L414" s="1">
        <f>((Fórmulas!C$6/Fórmulas!D$6)/0.7)*K414</f>
        <v>2.4489795918367347</v>
      </c>
      <c r="M414" s="1">
        <f>L414*Fórmulas!D$6</f>
        <v>857.14285714285711</v>
      </c>
    </row>
    <row r="415" spans="1:13" s="22" customFormat="1" x14ac:dyDescent="0.25">
      <c r="A415" s="22" t="s">
        <v>754</v>
      </c>
      <c r="B415" s="27"/>
      <c r="C415" s="27"/>
      <c r="D415" s="27"/>
      <c r="E415" s="22">
        <v>0</v>
      </c>
      <c r="G415" s="1">
        <f>((Fórmulas!C$6/Fórmulas!D$6)/Fórmulas!E$6)*E415</f>
        <v>0</v>
      </c>
      <c r="H415" s="1">
        <f>G415*Fórmulas!B$9</f>
        <v>0</v>
      </c>
      <c r="I415" s="7">
        <f t="shared" si="9"/>
        <v>0</v>
      </c>
      <c r="K415" s="1">
        <v>1</v>
      </c>
      <c r="L415" s="1">
        <f>((Fórmulas!C$6/Fórmulas!D$6)/0.7)*K415</f>
        <v>2.4489795918367347</v>
      </c>
      <c r="M415" s="1">
        <f>L415*Fórmulas!D$6</f>
        <v>857.14285714285711</v>
      </c>
    </row>
    <row r="416" spans="1:13" x14ac:dyDescent="0.25">
      <c r="A416" s="22" t="s">
        <v>754</v>
      </c>
      <c r="B416" s="27"/>
      <c r="C416" s="27"/>
      <c r="D416" s="27"/>
      <c r="E416">
        <v>0</v>
      </c>
      <c r="G416" s="1">
        <f>((Fórmulas!C$6/Fórmulas!D$6)/Fórmulas!E$6)*E416</f>
        <v>0</v>
      </c>
      <c r="H416" s="1">
        <f>G416*Fórmulas!B$9</f>
        <v>0</v>
      </c>
      <c r="I416" s="7">
        <f t="shared" si="8"/>
        <v>0</v>
      </c>
      <c r="K416" s="1">
        <v>1</v>
      </c>
      <c r="L416" s="1">
        <f>((Fórmulas!C$6/Fórmulas!D$6)/0.7)*K416</f>
        <v>2.4489795918367347</v>
      </c>
      <c r="M416" s="1">
        <f>L416*Fórmulas!D$6</f>
        <v>857.14285714285711</v>
      </c>
    </row>
    <row r="417" spans="1:13" x14ac:dyDescent="0.25">
      <c r="A417" s="22" t="s">
        <v>754</v>
      </c>
      <c r="B417" s="27" t="s">
        <v>775</v>
      </c>
      <c r="C417" s="27"/>
      <c r="D417" s="27"/>
      <c r="E417">
        <v>10</v>
      </c>
      <c r="G417" s="1">
        <f>((Fórmulas!C$6/Fórmulas!D$6)/Fórmulas!E$6)*E417</f>
        <v>24.489795918367349</v>
      </c>
      <c r="H417" s="1">
        <f>G417*Fórmulas!B$9</f>
        <v>8571.4285714285725</v>
      </c>
      <c r="I417" s="7">
        <f t="shared" si="8"/>
        <v>16.666666666666668</v>
      </c>
      <c r="K417" s="1">
        <v>1</v>
      </c>
      <c r="L417" s="1">
        <f>((Fórmulas!C$6/Fórmulas!D$6)/0.7)*K417</f>
        <v>2.4489795918367347</v>
      </c>
      <c r="M417" s="1">
        <f>L417*Fórmulas!D$6</f>
        <v>857.14285714285711</v>
      </c>
    </row>
    <row r="418" spans="1:13" x14ac:dyDescent="0.25">
      <c r="A418" s="22" t="s">
        <v>754</v>
      </c>
      <c r="B418" s="27" t="s">
        <v>764</v>
      </c>
      <c r="C418" s="27"/>
      <c r="D418" s="27"/>
      <c r="E418">
        <v>6</v>
      </c>
      <c r="G418" s="1">
        <f>((Fórmulas!C$6/Fórmulas!D$6)/Fórmulas!E$6)*E418</f>
        <v>14.693877551020408</v>
      </c>
      <c r="H418" s="1">
        <f>G418*Fórmulas!B$9</f>
        <v>5142.8571428571431</v>
      </c>
      <c r="I418" s="7">
        <f t="shared" si="8"/>
        <v>10</v>
      </c>
      <c r="K418" s="1">
        <v>1</v>
      </c>
      <c r="L418" s="1">
        <f>((Fórmulas!C$6/Fórmulas!D$6)/0.7)*K418</f>
        <v>2.4489795918367347</v>
      </c>
      <c r="M418" s="1">
        <f>L418*Fórmulas!D$6</f>
        <v>857.14285714285711</v>
      </c>
    </row>
    <row r="419" spans="1:13" x14ac:dyDescent="0.25">
      <c r="A419" s="22" t="s">
        <v>754</v>
      </c>
      <c r="B419" s="27" t="s">
        <v>759</v>
      </c>
      <c r="C419" s="27"/>
      <c r="D419" s="27"/>
      <c r="E419">
        <v>11</v>
      </c>
      <c r="G419" s="1">
        <f>((Fórmulas!C$6/Fórmulas!D$6)/Fórmulas!E$6)*E419</f>
        <v>26.938775510204081</v>
      </c>
      <c r="H419" s="1">
        <f>G419*Fórmulas!B$9</f>
        <v>9428.5714285714294</v>
      </c>
      <c r="I419" s="7">
        <f t="shared" si="8"/>
        <v>18.333333333333336</v>
      </c>
      <c r="K419" s="1">
        <v>1</v>
      </c>
      <c r="L419" s="1">
        <f>((Fórmulas!C$6/Fórmulas!D$6)/0.7)*K419</f>
        <v>2.4489795918367347</v>
      </c>
      <c r="M419" s="1">
        <f>L419*Fórmulas!D$6</f>
        <v>857.14285714285711</v>
      </c>
    </row>
    <row r="420" spans="1:13" x14ac:dyDescent="0.25">
      <c r="A420" s="22" t="s">
        <v>754</v>
      </c>
      <c r="B420" s="27" t="s">
        <v>762</v>
      </c>
      <c r="C420" s="27"/>
      <c r="D420" s="27"/>
      <c r="E420">
        <v>7</v>
      </c>
      <c r="G420" s="1">
        <f>((Fórmulas!C$6/Fórmulas!D$6)/Fórmulas!E$6)*E420</f>
        <v>17.142857142857142</v>
      </c>
      <c r="H420" s="1">
        <f>G420*Fórmulas!B$9</f>
        <v>6000</v>
      </c>
      <c r="I420" s="7">
        <f t="shared" si="8"/>
        <v>11.666666666666668</v>
      </c>
      <c r="K420" s="1">
        <v>1</v>
      </c>
      <c r="L420" s="1">
        <f>((Fórmulas!C$6/Fórmulas!D$6)/0.7)*K420</f>
        <v>2.4489795918367347</v>
      </c>
      <c r="M420" s="1">
        <f>L420*Fórmulas!D$6</f>
        <v>857.14285714285711</v>
      </c>
    </row>
    <row r="421" spans="1:13" x14ac:dyDescent="0.25">
      <c r="A421" s="22" t="s">
        <v>754</v>
      </c>
      <c r="B421" s="27" t="s">
        <v>763</v>
      </c>
      <c r="C421" s="27"/>
      <c r="D421" s="27"/>
      <c r="E421">
        <v>7</v>
      </c>
      <c r="G421" s="1">
        <f>((Fórmulas!C$6/Fórmulas!D$6)/Fórmulas!E$6)*E421</f>
        <v>17.142857142857142</v>
      </c>
      <c r="H421" s="1">
        <f>G421*Fórmulas!B$9</f>
        <v>6000</v>
      </c>
      <c r="I421" s="7">
        <f t="shared" si="8"/>
        <v>11.666666666666668</v>
      </c>
      <c r="K421" s="1">
        <v>1</v>
      </c>
      <c r="L421" s="1">
        <f>((Fórmulas!C$6/Fórmulas!D$6)/0.7)*K421</f>
        <v>2.4489795918367347</v>
      </c>
      <c r="M421" s="1">
        <f>L421*Fórmulas!D$6</f>
        <v>857.14285714285711</v>
      </c>
    </row>
    <row r="422" spans="1:13" x14ac:dyDescent="0.25">
      <c r="A422" s="22" t="s">
        <v>754</v>
      </c>
      <c r="B422" s="27" t="s">
        <v>765</v>
      </c>
      <c r="C422" s="27"/>
      <c r="D422" s="27"/>
      <c r="E422">
        <v>6.2</v>
      </c>
      <c r="G422" s="1">
        <f>((Fórmulas!C$6/Fórmulas!D$6)/Fórmulas!E$6)*E422</f>
        <v>15.183673469387756</v>
      </c>
      <c r="H422" s="1">
        <f>G422*Fórmulas!B$9</f>
        <v>5314.2857142857147</v>
      </c>
      <c r="I422" s="7">
        <f t="shared" si="8"/>
        <v>10.333333333333334</v>
      </c>
      <c r="K422" s="1">
        <v>1</v>
      </c>
      <c r="L422" s="1">
        <f>((Fórmulas!C$6/Fórmulas!D$6)/0.7)*K422</f>
        <v>2.4489795918367347</v>
      </c>
      <c r="M422" s="1">
        <f>L422*Fórmulas!D$6</f>
        <v>857.14285714285711</v>
      </c>
    </row>
    <row r="423" spans="1:13" s="22" customFormat="1" x14ac:dyDescent="0.25">
      <c r="A423" s="22" t="s">
        <v>754</v>
      </c>
      <c r="B423" s="27"/>
      <c r="C423" s="27"/>
      <c r="D423" s="27"/>
      <c r="E423" s="22">
        <v>0</v>
      </c>
      <c r="G423" s="1">
        <f>((Fórmulas!C$6/Fórmulas!D$6)/Fórmulas!E$6)*E423</f>
        <v>0</v>
      </c>
      <c r="H423" s="1">
        <f>G423*Fórmulas!B$9</f>
        <v>0</v>
      </c>
      <c r="I423" s="7">
        <f t="shared" ref="I423:I431" si="10">E423/0.6</f>
        <v>0</v>
      </c>
      <c r="K423" s="1">
        <v>1</v>
      </c>
      <c r="L423" s="1">
        <f>((Fórmulas!C$6/Fórmulas!D$6)/0.7)*K423</f>
        <v>2.4489795918367347</v>
      </c>
      <c r="M423" s="1">
        <f>L423*Fórmulas!D$6</f>
        <v>857.14285714285711</v>
      </c>
    </row>
    <row r="424" spans="1:13" s="22" customFormat="1" x14ac:dyDescent="0.25">
      <c r="A424" s="22" t="s">
        <v>754</v>
      </c>
      <c r="B424" s="27"/>
      <c r="C424" s="27"/>
      <c r="D424" s="27"/>
      <c r="E424" s="22">
        <v>0</v>
      </c>
      <c r="G424" s="1">
        <f>((Fórmulas!C$6/Fórmulas!D$6)/Fórmulas!E$6)*E424</f>
        <v>0</v>
      </c>
      <c r="H424" s="1">
        <f>G424*Fórmulas!B$9</f>
        <v>0</v>
      </c>
      <c r="I424" s="7">
        <f t="shared" si="10"/>
        <v>0</v>
      </c>
      <c r="K424" s="1">
        <v>1</v>
      </c>
      <c r="L424" s="1">
        <f>((Fórmulas!C$6/Fórmulas!D$6)/0.7)*K424</f>
        <v>2.4489795918367347</v>
      </c>
      <c r="M424" s="1">
        <f>L424*Fórmulas!D$6</f>
        <v>857.14285714285711</v>
      </c>
    </row>
    <row r="425" spans="1:13" s="22" customFormat="1" x14ac:dyDescent="0.25">
      <c r="A425" s="22" t="s">
        <v>754</v>
      </c>
      <c r="B425" s="26"/>
      <c r="C425" s="26"/>
      <c r="D425" s="26"/>
      <c r="E425" s="22">
        <v>0</v>
      </c>
      <c r="G425" s="1">
        <f>((Fórmulas!C$6/Fórmulas!D$6)/Fórmulas!E$6)*E425</f>
        <v>0</v>
      </c>
      <c r="H425" s="1">
        <f>G425*Fórmulas!B$9</f>
        <v>0</v>
      </c>
      <c r="I425" s="7">
        <f t="shared" si="10"/>
        <v>0</v>
      </c>
      <c r="K425" s="1">
        <v>1</v>
      </c>
      <c r="L425" s="1">
        <f>((Fórmulas!C$6/Fórmulas!D$6)/0.7)*K425</f>
        <v>2.4489795918367347</v>
      </c>
      <c r="M425" s="1">
        <f>L425*Fórmulas!D$6</f>
        <v>857.14285714285711</v>
      </c>
    </row>
    <row r="426" spans="1:13" s="22" customFormat="1" x14ac:dyDescent="0.25">
      <c r="A426" s="22" t="s">
        <v>754</v>
      </c>
      <c r="B426" s="27"/>
      <c r="C426" s="27"/>
      <c r="D426" s="27"/>
      <c r="E426" s="22">
        <v>0</v>
      </c>
      <c r="G426" s="1">
        <f>((Fórmulas!C$6/Fórmulas!D$6)/Fórmulas!E$6)*E426</f>
        <v>0</v>
      </c>
      <c r="H426" s="1">
        <f>G426*Fórmulas!B$9</f>
        <v>0</v>
      </c>
      <c r="I426" s="7">
        <f t="shared" si="10"/>
        <v>0</v>
      </c>
      <c r="K426" s="1">
        <v>1</v>
      </c>
      <c r="L426" s="1">
        <f>((Fórmulas!C$6/Fórmulas!D$6)/0.7)*K426</f>
        <v>2.4489795918367347</v>
      </c>
      <c r="M426" s="1">
        <f>L426*Fórmulas!D$6</f>
        <v>857.14285714285711</v>
      </c>
    </row>
    <row r="427" spans="1:13" s="22" customFormat="1" x14ac:dyDescent="0.25">
      <c r="A427" s="22" t="s">
        <v>754</v>
      </c>
      <c r="B427" s="27"/>
      <c r="C427" s="27"/>
      <c r="D427" s="27"/>
      <c r="E427" s="22">
        <v>0</v>
      </c>
      <c r="G427" s="1">
        <f>((Fórmulas!C$6/Fórmulas!D$6)/Fórmulas!E$6)*E427</f>
        <v>0</v>
      </c>
      <c r="H427" s="1">
        <f>G427*Fórmulas!B$9</f>
        <v>0</v>
      </c>
      <c r="I427" s="7">
        <f t="shared" si="10"/>
        <v>0</v>
      </c>
      <c r="K427" s="1">
        <v>1</v>
      </c>
      <c r="L427" s="1">
        <f>((Fórmulas!C$6/Fórmulas!D$6)/0.7)*K427</f>
        <v>2.4489795918367347</v>
      </c>
      <c r="M427" s="1">
        <f>L427*Fórmulas!D$6</f>
        <v>857.14285714285711</v>
      </c>
    </row>
    <row r="428" spans="1:13" s="22" customFormat="1" x14ac:dyDescent="0.25">
      <c r="A428" s="22" t="s">
        <v>754</v>
      </c>
      <c r="B428" s="27"/>
      <c r="C428" s="27"/>
      <c r="D428" s="27"/>
      <c r="E428" s="22">
        <v>0</v>
      </c>
      <c r="G428" s="1">
        <f>((Fórmulas!C$6/Fórmulas!D$6)/Fórmulas!E$6)*E428</f>
        <v>0</v>
      </c>
      <c r="H428" s="1">
        <f>G428*Fórmulas!B$9</f>
        <v>0</v>
      </c>
      <c r="I428" s="7">
        <f t="shared" si="10"/>
        <v>0</v>
      </c>
      <c r="K428" s="1">
        <v>1</v>
      </c>
      <c r="L428" s="1">
        <f>((Fórmulas!C$6/Fórmulas!D$6)/0.7)*K428</f>
        <v>2.4489795918367347</v>
      </c>
      <c r="M428" s="1">
        <f>L428*Fórmulas!D$6</f>
        <v>857.14285714285711</v>
      </c>
    </row>
    <row r="429" spans="1:13" s="22" customFormat="1" x14ac:dyDescent="0.25">
      <c r="A429" s="22" t="s">
        <v>754</v>
      </c>
      <c r="B429" s="27"/>
      <c r="C429" s="27"/>
      <c r="D429" s="27"/>
      <c r="E429" s="22">
        <v>0</v>
      </c>
      <c r="G429" s="1">
        <f>((Fórmulas!C$6/Fórmulas!D$6)/Fórmulas!E$6)*E429</f>
        <v>0</v>
      </c>
      <c r="H429" s="1">
        <f>G429*Fórmulas!B$9</f>
        <v>0</v>
      </c>
      <c r="I429" s="7">
        <f t="shared" si="10"/>
        <v>0</v>
      </c>
      <c r="K429" s="1">
        <v>1</v>
      </c>
      <c r="L429" s="1">
        <f>((Fórmulas!C$6/Fórmulas!D$6)/0.7)*K429</f>
        <v>2.4489795918367347</v>
      </c>
      <c r="M429" s="1">
        <f>L429*Fórmulas!D$6</f>
        <v>857.14285714285711</v>
      </c>
    </row>
    <row r="430" spans="1:13" s="22" customFormat="1" x14ac:dyDescent="0.25">
      <c r="A430" s="22" t="s">
        <v>754</v>
      </c>
      <c r="B430" s="27"/>
      <c r="C430" s="27"/>
      <c r="D430" s="27"/>
      <c r="E430" s="22">
        <v>0</v>
      </c>
      <c r="G430" s="1">
        <f>((Fórmulas!C$6/Fórmulas!D$6)/Fórmulas!E$6)*E430</f>
        <v>0</v>
      </c>
      <c r="H430" s="1">
        <f>G430*Fórmulas!B$9</f>
        <v>0</v>
      </c>
      <c r="I430" s="7">
        <f t="shared" si="10"/>
        <v>0</v>
      </c>
      <c r="K430" s="1">
        <v>1</v>
      </c>
      <c r="L430" s="1">
        <f>((Fórmulas!C$6/Fórmulas!D$6)/0.7)*K430</f>
        <v>2.4489795918367347</v>
      </c>
      <c r="M430" s="1">
        <f>L430*Fórmulas!D$6</f>
        <v>857.14285714285711</v>
      </c>
    </row>
    <row r="431" spans="1:13" s="22" customFormat="1" x14ac:dyDescent="0.25">
      <c r="A431" s="22" t="s">
        <v>754</v>
      </c>
      <c r="B431" s="27"/>
      <c r="C431" s="27"/>
      <c r="D431" s="27"/>
      <c r="E431" s="22">
        <v>0</v>
      </c>
      <c r="G431" s="1">
        <f>((Fórmulas!C$6/Fórmulas!D$6)/Fórmulas!E$6)*E431</f>
        <v>0</v>
      </c>
      <c r="H431" s="1">
        <f>G431*Fórmulas!B$9</f>
        <v>0</v>
      </c>
      <c r="I431" s="7">
        <f t="shared" si="10"/>
        <v>0</v>
      </c>
      <c r="K431" s="1">
        <v>1</v>
      </c>
      <c r="L431" s="1">
        <f>((Fórmulas!C$6/Fórmulas!D$6)/0.7)*K431</f>
        <v>2.4489795918367347</v>
      </c>
      <c r="M431" s="1">
        <f>L431*Fórmulas!D$6</f>
        <v>857.14285714285711</v>
      </c>
    </row>
    <row r="432" spans="1:13" x14ac:dyDescent="0.25">
      <c r="A432" s="22" t="s">
        <v>754</v>
      </c>
      <c r="B432" s="27"/>
      <c r="C432" s="27"/>
      <c r="D432" s="27"/>
      <c r="E432">
        <v>0</v>
      </c>
      <c r="G432" s="1">
        <f>((Fórmulas!C$6/Fórmulas!D$6)/Fórmulas!E$6)*E432</f>
        <v>0</v>
      </c>
      <c r="H432" s="1">
        <f>G432*Fórmulas!B$9</f>
        <v>0</v>
      </c>
      <c r="I432" s="7">
        <f t="shared" si="8"/>
        <v>0</v>
      </c>
      <c r="K432" s="1">
        <v>1</v>
      </c>
      <c r="L432" s="1">
        <f>((Fórmulas!C$6/Fórmulas!D$6)/0.7)*K432</f>
        <v>2.4489795918367347</v>
      </c>
      <c r="M432" s="1">
        <f>L432*Fórmulas!D$6</f>
        <v>857.14285714285711</v>
      </c>
    </row>
    <row r="433" spans="1:13" x14ac:dyDescent="0.25">
      <c r="A433" s="22" t="s">
        <v>754</v>
      </c>
      <c r="B433" s="27" t="s">
        <v>774</v>
      </c>
      <c r="C433" s="27"/>
      <c r="D433" s="27"/>
      <c r="E433">
        <v>6.55</v>
      </c>
      <c r="G433" s="1">
        <f>((Fórmulas!C$6/Fórmulas!D$6)/Fórmulas!E$6)*E433</f>
        <v>16.040816326530614</v>
      </c>
      <c r="H433" s="1">
        <f>G433*Fórmulas!B$9</f>
        <v>5614.2857142857147</v>
      </c>
      <c r="I433" s="7">
        <f t="shared" si="8"/>
        <v>10.916666666666666</v>
      </c>
      <c r="K433" s="1">
        <v>1</v>
      </c>
      <c r="L433" s="1">
        <f>((Fórmulas!C$6/Fórmulas!D$6)/0.7)*K433</f>
        <v>2.4489795918367347</v>
      </c>
      <c r="M433" s="1">
        <f>L433*Fórmulas!D$6</f>
        <v>857.14285714285711</v>
      </c>
    </row>
    <row r="434" spans="1:13" x14ac:dyDescent="0.25">
      <c r="A434" s="22" t="s">
        <v>754</v>
      </c>
      <c r="B434" s="27" t="s">
        <v>771</v>
      </c>
      <c r="C434" s="27"/>
      <c r="D434" s="27"/>
      <c r="E434">
        <v>6.55</v>
      </c>
      <c r="G434" s="1">
        <f>((Fórmulas!C$6/Fórmulas!D$6)/Fórmulas!E$6)*E434</f>
        <v>16.040816326530614</v>
      </c>
      <c r="H434" s="1">
        <f>G434*Fórmulas!B$9</f>
        <v>5614.2857142857147</v>
      </c>
      <c r="I434" s="7">
        <f t="shared" si="8"/>
        <v>10.916666666666666</v>
      </c>
      <c r="K434" s="1">
        <v>1</v>
      </c>
      <c r="L434" s="1">
        <f>((Fórmulas!C$6/Fórmulas!D$6)/0.7)*K434</f>
        <v>2.4489795918367347</v>
      </c>
      <c r="M434" s="1">
        <f>L434*Fórmulas!D$6</f>
        <v>857.14285714285711</v>
      </c>
    </row>
    <row r="435" spans="1:13" x14ac:dyDescent="0.25">
      <c r="A435" s="22" t="s">
        <v>754</v>
      </c>
      <c r="B435" s="27" t="s">
        <v>770</v>
      </c>
      <c r="C435" s="27"/>
      <c r="D435" s="27"/>
      <c r="E435">
        <v>6.55</v>
      </c>
      <c r="G435" s="1">
        <f>((Fórmulas!C$6/Fórmulas!D$6)/Fórmulas!E$6)*E435</f>
        <v>16.040816326530614</v>
      </c>
      <c r="H435" s="1">
        <f>G435*Fórmulas!B$9</f>
        <v>5614.2857142857147</v>
      </c>
      <c r="I435" s="7">
        <f t="shared" si="8"/>
        <v>10.916666666666666</v>
      </c>
      <c r="K435" s="1">
        <v>1</v>
      </c>
      <c r="L435" s="1">
        <f>((Fórmulas!C$6/Fórmulas!D$6)/0.7)*K435</f>
        <v>2.4489795918367347</v>
      </c>
      <c r="M435" s="1">
        <f>L435*Fórmulas!D$6</f>
        <v>857.14285714285711</v>
      </c>
    </row>
    <row r="436" spans="1:13" x14ac:dyDescent="0.25">
      <c r="A436" s="22" t="s">
        <v>754</v>
      </c>
      <c r="B436" s="27" t="s">
        <v>767</v>
      </c>
      <c r="C436" s="27"/>
      <c r="D436" s="27"/>
      <c r="E436">
        <v>6.55</v>
      </c>
      <c r="G436" s="1">
        <f>((Fórmulas!C$6/Fórmulas!D$6)/Fórmulas!E$6)*E436</f>
        <v>16.040816326530614</v>
      </c>
      <c r="H436" s="1">
        <f>G436*Fórmulas!B$9</f>
        <v>5614.2857142857147</v>
      </c>
      <c r="I436" s="7">
        <f t="shared" si="8"/>
        <v>10.916666666666666</v>
      </c>
      <c r="K436" s="1">
        <v>1</v>
      </c>
      <c r="L436" s="1">
        <f>((Fórmulas!C$6/Fórmulas!D$6)/0.7)*K436</f>
        <v>2.4489795918367347</v>
      </c>
      <c r="M436" s="1">
        <f>L436*Fórmulas!D$6</f>
        <v>857.14285714285711</v>
      </c>
    </row>
    <row r="437" spans="1:13" s="4" customFormat="1" x14ac:dyDescent="0.25">
      <c r="A437" s="22" t="s">
        <v>754</v>
      </c>
      <c r="B437" s="27" t="s">
        <v>766</v>
      </c>
      <c r="C437" s="27"/>
      <c r="D437" s="27"/>
      <c r="E437" s="4">
        <v>6.55</v>
      </c>
      <c r="G437" s="1">
        <f>((Fórmulas!C$6/Fórmulas!D$6)/Fórmulas!E$6)*E437</f>
        <v>16.040816326530614</v>
      </c>
      <c r="H437" s="1">
        <f>G437*Fórmulas!B$9</f>
        <v>5614.2857142857147</v>
      </c>
      <c r="I437" s="7">
        <f t="shared" si="8"/>
        <v>10.916666666666666</v>
      </c>
      <c r="K437" s="1">
        <v>1</v>
      </c>
      <c r="L437" s="1">
        <f>((Fórmulas!C$6/Fórmulas!D$6)/0.7)*K437</f>
        <v>2.4489795918367347</v>
      </c>
      <c r="M437" s="1">
        <f>L437*Fórmulas!D$6</f>
        <v>857.14285714285711</v>
      </c>
    </row>
    <row r="438" spans="1:13" s="4" customFormat="1" x14ac:dyDescent="0.25">
      <c r="A438" s="22" t="s">
        <v>754</v>
      </c>
      <c r="B438" s="27" t="s">
        <v>760</v>
      </c>
      <c r="C438" s="27"/>
      <c r="D438" s="27"/>
      <c r="E438" s="22">
        <v>6.55</v>
      </c>
      <c r="F438" s="22"/>
      <c r="G438" s="1">
        <f>((Fórmulas!C$6/Fórmulas!D$6)/Fórmulas!E$6)*E438</f>
        <v>16.040816326530614</v>
      </c>
      <c r="H438" s="1">
        <f>G438*Fórmulas!B$9</f>
        <v>5614.2857142857147</v>
      </c>
      <c r="I438" s="7">
        <f t="shared" ref="I438:I439" si="11">E438/0.6</f>
        <v>10.916666666666666</v>
      </c>
      <c r="J438" s="22"/>
      <c r="K438" s="1">
        <v>1</v>
      </c>
      <c r="L438" s="1">
        <f>((Fórmulas!C$6/Fórmulas!D$6)/0.7)*K438</f>
        <v>2.4489795918367347</v>
      </c>
      <c r="M438" s="1">
        <f>L438*Fórmulas!D$6</f>
        <v>857.14285714285711</v>
      </c>
    </row>
    <row r="439" spans="1:13" s="4" customFormat="1" x14ac:dyDescent="0.25">
      <c r="A439" s="22" t="s">
        <v>754</v>
      </c>
      <c r="B439" s="27" t="s">
        <v>761</v>
      </c>
      <c r="C439" s="27"/>
      <c r="D439" s="27"/>
      <c r="E439" s="22">
        <v>6.55</v>
      </c>
      <c r="F439" s="22"/>
      <c r="G439" s="1">
        <f>((Fórmulas!C$6/Fórmulas!D$6)/Fórmulas!E$6)*E439</f>
        <v>16.040816326530614</v>
      </c>
      <c r="H439" s="1">
        <f>G439*Fórmulas!B$9</f>
        <v>5614.2857142857147</v>
      </c>
      <c r="I439" s="7">
        <f t="shared" si="11"/>
        <v>10.916666666666666</v>
      </c>
      <c r="J439" s="22"/>
      <c r="K439" s="1">
        <v>1</v>
      </c>
      <c r="L439" s="1">
        <f>((Fórmulas!C$6/Fórmulas!D$6)/0.7)*K439</f>
        <v>2.4489795918367347</v>
      </c>
      <c r="M439" s="1">
        <f>L439*Fórmulas!D$6</f>
        <v>857.14285714285711</v>
      </c>
    </row>
    <row r="440" spans="1:13" s="4" customFormat="1" x14ac:dyDescent="0.25">
      <c r="A440" s="22" t="s">
        <v>754</v>
      </c>
      <c r="B440" s="27" t="s">
        <v>769</v>
      </c>
      <c r="C440" s="27"/>
      <c r="D440" s="27"/>
      <c r="E440" s="4">
        <v>6.55</v>
      </c>
      <c r="G440" s="1">
        <f>((Fórmulas!C$6/Fórmulas!D$6)/Fórmulas!E$6)*E440</f>
        <v>16.040816326530614</v>
      </c>
      <c r="H440" s="1">
        <f>G440*Fórmulas!B$9</f>
        <v>5614.2857142857147</v>
      </c>
      <c r="I440" s="7">
        <f t="shared" si="8"/>
        <v>10.916666666666666</v>
      </c>
      <c r="K440" s="1">
        <v>1</v>
      </c>
      <c r="L440" s="1">
        <f>((Fórmulas!C$6/Fórmulas!D$6)/0.7)*K440</f>
        <v>2.4489795918367347</v>
      </c>
      <c r="M440" s="1">
        <f>L440*Fórmulas!D$6</f>
        <v>857.14285714285711</v>
      </c>
    </row>
    <row r="441" spans="1:13" s="4" customFormat="1" x14ac:dyDescent="0.25">
      <c r="A441" s="4" t="s">
        <v>372</v>
      </c>
      <c r="B441" s="27" t="s">
        <v>373</v>
      </c>
      <c r="C441" s="27"/>
      <c r="D441" s="27"/>
      <c r="E441" s="11">
        <v>6.2</v>
      </c>
      <c r="G441" s="1">
        <f>((Fórmulas!C$6/Fórmulas!D$6)/Fórmulas!E$6)*E441</f>
        <v>15.183673469387756</v>
      </c>
      <c r="H441" s="1">
        <f>G441*Fórmulas!B$9</f>
        <v>5314.2857142857147</v>
      </c>
      <c r="I441" s="7">
        <f t="shared" si="8"/>
        <v>10.333333333333334</v>
      </c>
      <c r="K441" s="1">
        <v>1</v>
      </c>
      <c r="L441" s="1">
        <f>((Fórmulas!C$6/Fórmulas!D$6)/0.7)*K441</f>
        <v>2.4489795918367347</v>
      </c>
      <c r="M441" s="1">
        <f>L441*Fórmulas!D$6</f>
        <v>857.14285714285711</v>
      </c>
    </row>
    <row r="442" spans="1:13" s="4" customFormat="1" x14ac:dyDescent="0.25">
      <c r="A442" s="4" t="s">
        <v>372</v>
      </c>
      <c r="B442" s="27" t="s">
        <v>374</v>
      </c>
      <c r="C442" s="27"/>
      <c r="D442" s="27"/>
      <c r="E442" s="11">
        <v>6.2</v>
      </c>
      <c r="G442" s="1">
        <f>((Fórmulas!C$6/Fórmulas!D$6)/Fórmulas!E$6)*E442</f>
        <v>15.183673469387756</v>
      </c>
      <c r="H442" s="1">
        <f>G442*Fórmulas!B$9</f>
        <v>5314.2857142857147</v>
      </c>
      <c r="I442" s="7">
        <f t="shared" si="8"/>
        <v>10.333333333333334</v>
      </c>
      <c r="K442" s="1">
        <v>1</v>
      </c>
      <c r="L442" s="1">
        <f>((Fórmulas!C$6/Fórmulas!D$6)/0.7)*K442</f>
        <v>2.4489795918367347</v>
      </c>
      <c r="M442" s="1">
        <f>L442*Fórmulas!D$6</f>
        <v>857.14285714285711</v>
      </c>
    </row>
    <row r="443" spans="1:13" s="4" customFormat="1" x14ac:dyDescent="0.25">
      <c r="A443" s="4" t="s">
        <v>372</v>
      </c>
      <c r="B443" s="27" t="s">
        <v>375</v>
      </c>
      <c r="C443" s="27"/>
      <c r="D443" s="27"/>
      <c r="E443" s="11">
        <v>6.55</v>
      </c>
      <c r="G443" s="1">
        <f>((Fórmulas!C$6/Fórmulas!D$6)/Fórmulas!E$6)*E443</f>
        <v>16.040816326530614</v>
      </c>
      <c r="H443" s="1">
        <f>G443*Fórmulas!B$9</f>
        <v>5614.2857142857147</v>
      </c>
      <c r="I443" s="7">
        <f t="shared" si="8"/>
        <v>10.916666666666666</v>
      </c>
      <c r="K443" s="1">
        <v>1</v>
      </c>
      <c r="L443" s="1">
        <f>((Fórmulas!C$6/Fórmulas!D$6)/0.7)*K443</f>
        <v>2.4489795918367347</v>
      </c>
      <c r="M443" s="1">
        <f>L443*Fórmulas!D$6</f>
        <v>857.14285714285711</v>
      </c>
    </row>
    <row r="444" spans="1:13" s="4" customFormat="1" x14ac:dyDescent="0.25">
      <c r="A444" s="4" t="s">
        <v>372</v>
      </c>
      <c r="B444" s="27" t="s">
        <v>376</v>
      </c>
      <c r="C444" s="27"/>
      <c r="D444" s="27"/>
      <c r="E444" s="11">
        <v>6.55</v>
      </c>
      <c r="G444" s="1">
        <f>((Fórmulas!C$6/Fórmulas!D$6)/Fórmulas!E$6)*E444</f>
        <v>16.040816326530614</v>
      </c>
      <c r="H444" s="1">
        <f>G444*Fórmulas!B$9</f>
        <v>5614.2857142857147</v>
      </c>
      <c r="I444" s="7">
        <f t="shared" si="8"/>
        <v>10.916666666666666</v>
      </c>
      <c r="K444" s="1">
        <v>1</v>
      </c>
      <c r="L444" s="1">
        <f>((Fórmulas!C$6/Fórmulas!D$6)/0.7)*K444</f>
        <v>2.4489795918367347</v>
      </c>
      <c r="M444" s="1">
        <f>L444*Fórmulas!D$6</f>
        <v>857.14285714285711</v>
      </c>
    </row>
    <row r="445" spans="1:13" s="4" customFormat="1" x14ac:dyDescent="0.25">
      <c r="A445" s="4" t="s">
        <v>372</v>
      </c>
      <c r="B445" s="27" t="s">
        <v>377</v>
      </c>
      <c r="C445" s="27"/>
      <c r="D445" s="27"/>
      <c r="E445" s="11">
        <v>6.55</v>
      </c>
      <c r="G445" s="1">
        <f>((Fórmulas!C$6/Fórmulas!D$6)/Fórmulas!E$6)*E445</f>
        <v>16.040816326530614</v>
      </c>
      <c r="H445" s="1">
        <f>G445*Fórmulas!B$9</f>
        <v>5614.2857142857147</v>
      </c>
      <c r="I445" s="7">
        <f t="shared" si="8"/>
        <v>10.916666666666666</v>
      </c>
      <c r="K445" s="1">
        <v>1</v>
      </c>
      <c r="L445" s="1">
        <f>((Fórmulas!C$6/Fórmulas!D$6)/0.7)*K445</f>
        <v>2.4489795918367347</v>
      </c>
      <c r="M445" s="1">
        <f>L445*Fórmulas!D$6</f>
        <v>857.14285714285711</v>
      </c>
    </row>
    <row r="446" spans="1:13" s="4" customFormat="1" x14ac:dyDescent="0.25">
      <c r="A446" s="4" t="s">
        <v>372</v>
      </c>
      <c r="B446" s="27" t="s">
        <v>378</v>
      </c>
      <c r="C446" s="27"/>
      <c r="D446" s="27"/>
      <c r="E446" s="11">
        <v>6.2</v>
      </c>
      <c r="G446" s="1">
        <f>((Fórmulas!C$6/Fórmulas!D$6)/Fórmulas!E$6)*E446</f>
        <v>15.183673469387756</v>
      </c>
      <c r="H446" s="1">
        <f>G446*Fórmulas!B$9</f>
        <v>5314.2857142857147</v>
      </c>
      <c r="I446" s="7">
        <f t="shared" si="8"/>
        <v>10.333333333333334</v>
      </c>
      <c r="K446" s="1">
        <v>1</v>
      </c>
      <c r="L446" s="1">
        <f>((Fórmulas!C$6/Fórmulas!D$6)/0.7)*K446</f>
        <v>2.4489795918367347</v>
      </c>
      <c r="M446" s="1">
        <f>L446*Fórmulas!D$6</f>
        <v>857.14285714285711</v>
      </c>
    </row>
    <row r="447" spans="1:13" s="4" customFormat="1" x14ac:dyDescent="0.25">
      <c r="A447" s="4" t="s">
        <v>372</v>
      </c>
      <c r="B447" s="27" t="s">
        <v>379</v>
      </c>
      <c r="C447" s="27"/>
      <c r="D447" s="27"/>
      <c r="E447" s="11">
        <v>7.4</v>
      </c>
      <c r="G447" s="1">
        <f>((Fórmulas!C$6/Fórmulas!D$6)/Fórmulas!E$6)*E447</f>
        <v>18.122448979591837</v>
      </c>
      <c r="H447" s="1">
        <f>G447*Fórmulas!B$9</f>
        <v>6342.8571428571431</v>
      </c>
      <c r="I447" s="7">
        <f t="shared" si="8"/>
        <v>12.333333333333334</v>
      </c>
      <c r="K447" s="1">
        <v>1</v>
      </c>
      <c r="L447" s="1">
        <f>((Fórmulas!C$6/Fórmulas!D$6)/0.7)*K447</f>
        <v>2.4489795918367347</v>
      </c>
      <c r="M447" s="1">
        <f>L447*Fórmulas!D$6</f>
        <v>857.14285714285711</v>
      </c>
    </row>
    <row r="448" spans="1:13" s="4" customFormat="1" x14ac:dyDescent="0.25">
      <c r="A448" s="4" t="s">
        <v>372</v>
      </c>
      <c r="B448" s="27" t="s">
        <v>380</v>
      </c>
      <c r="C448" s="27"/>
      <c r="D448" s="27"/>
      <c r="E448" s="11">
        <v>7.4</v>
      </c>
      <c r="G448" s="1">
        <f>((Fórmulas!C$6/Fórmulas!D$6)/Fórmulas!E$6)*E448</f>
        <v>18.122448979591837</v>
      </c>
      <c r="H448" s="1">
        <f>G448*Fórmulas!B$9</f>
        <v>6342.8571428571431</v>
      </c>
      <c r="I448" s="7">
        <f t="shared" si="8"/>
        <v>12.333333333333334</v>
      </c>
      <c r="K448" s="1">
        <v>1</v>
      </c>
      <c r="L448" s="1">
        <f>((Fórmulas!C$6/Fórmulas!D$6)/0.7)*K448</f>
        <v>2.4489795918367347</v>
      </c>
      <c r="M448" s="1">
        <f>L448*Fórmulas!D$6</f>
        <v>857.14285714285711</v>
      </c>
    </row>
    <row r="449" spans="1:13" s="4" customFormat="1" x14ac:dyDescent="0.25">
      <c r="A449" s="4" t="s">
        <v>372</v>
      </c>
      <c r="B449" s="27" t="s">
        <v>381</v>
      </c>
      <c r="C449" s="27"/>
      <c r="D449" s="27"/>
      <c r="E449" s="11">
        <v>7.4</v>
      </c>
      <c r="G449" s="1">
        <f>((Fórmulas!C$6/Fórmulas!D$6)/Fórmulas!E$6)*E449</f>
        <v>18.122448979591837</v>
      </c>
      <c r="H449" s="1">
        <f>G449*Fórmulas!B$9</f>
        <v>6342.8571428571431</v>
      </c>
      <c r="I449" s="7">
        <f t="shared" si="8"/>
        <v>12.333333333333334</v>
      </c>
      <c r="K449" s="1">
        <v>1</v>
      </c>
      <c r="L449" s="1">
        <f>((Fórmulas!C$6/Fórmulas!D$6)/0.7)*K449</f>
        <v>2.4489795918367347</v>
      </c>
      <c r="M449" s="1">
        <f>L449*Fórmulas!D$6</f>
        <v>857.14285714285711</v>
      </c>
    </row>
    <row r="450" spans="1:13" s="4" customFormat="1" x14ac:dyDescent="0.25">
      <c r="A450" s="4" t="s">
        <v>372</v>
      </c>
      <c r="B450" s="27" t="s">
        <v>382</v>
      </c>
      <c r="C450" s="27"/>
      <c r="D450" s="27"/>
      <c r="E450" s="11">
        <v>7.4</v>
      </c>
      <c r="G450" s="1">
        <f>((Fórmulas!C$6/Fórmulas!D$6)/Fórmulas!E$6)*E450</f>
        <v>18.122448979591837</v>
      </c>
      <c r="H450" s="1">
        <f>G450*Fórmulas!B$9</f>
        <v>6342.8571428571431</v>
      </c>
      <c r="I450" s="7">
        <f t="shared" si="8"/>
        <v>12.333333333333334</v>
      </c>
      <c r="K450" s="1">
        <v>1</v>
      </c>
      <c r="L450" s="1">
        <f>((Fórmulas!C$6/Fórmulas!D$6)/0.7)*K450</f>
        <v>2.4489795918367347</v>
      </c>
      <c r="M450" s="1">
        <f>L450*Fórmulas!D$6</f>
        <v>857.14285714285711</v>
      </c>
    </row>
    <row r="451" spans="1:13" s="4" customFormat="1" x14ac:dyDescent="0.25">
      <c r="B451" s="26"/>
      <c r="C451" s="26"/>
      <c r="D451" s="26"/>
      <c r="E451" s="4">
        <v>0</v>
      </c>
      <c r="G451" s="1">
        <f>((Fórmulas!C$6/Fórmulas!D$6)/Fórmulas!E$6)*E451</f>
        <v>0</v>
      </c>
      <c r="H451" s="1">
        <f>G451*Fórmulas!B$9</f>
        <v>0</v>
      </c>
      <c r="I451" s="7">
        <f t="shared" si="8"/>
        <v>0</v>
      </c>
      <c r="K451" s="1">
        <v>1</v>
      </c>
      <c r="L451" s="1">
        <f>((Fórmulas!C$6/Fórmulas!D$6)/0.7)*K451</f>
        <v>2.4489795918367347</v>
      </c>
      <c r="M451" s="1">
        <f>L451*Fórmulas!D$6</f>
        <v>857.14285714285711</v>
      </c>
    </row>
    <row r="452" spans="1:13" s="22" customFormat="1" x14ac:dyDescent="0.25">
      <c r="B452" s="26"/>
      <c r="C452" s="26"/>
      <c r="D452" s="26"/>
      <c r="E452" s="22">
        <v>0</v>
      </c>
      <c r="G452" s="1">
        <f>((Fórmulas!C$6/Fórmulas!D$6)/Fórmulas!E$6)*E452</f>
        <v>0</v>
      </c>
      <c r="H452" s="1">
        <f>G452*Fórmulas!B$9</f>
        <v>0</v>
      </c>
      <c r="I452" s="7">
        <f t="shared" ref="I452:I460" si="12">E452/0.6</f>
        <v>0</v>
      </c>
      <c r="K452" s="1">
        <v>1</v>
      </c>
      <c r="L452" s="1">
        <f>((Fórmulas!C$6/Fórmulas!D$6)/0.7)*K452</f>
        <v>2.4489795918367347</v>
      </c>
      <c r="M452" s="1">
        <f>L452*Fórmulas!D$6</f>
        <v>857.14285714285711</v>
      </c>
    </row>
    <row r="453" spans="1:13" s="22" customFormat="1" x14ac:dyDescent="0.25">
      <c r="B453" s="26"/>
      <c r="C453" s="26"/>
      <c r="D453" s="26"/>
      <c r="E453" s="22">
        <v>0</v>
      </c>
      <c r="G453" s="1">
        <f>((Fórmulas!C$6/Fórmulas!D$6)/Fórmulas!E$6)*E453</f>
        <v>0</v>
      </c>
      <c r="H453" s="1">
        <f>G453*Fórmulas!B$9</f>
        <v>0</v>
      </c>
      <c r="I453" s="7">
        <f t="shared" si="12"/>
        <v>0</v>
      </c>
      <c r="K453" s="1">
        <v>1</v>
      </c>
      <c r="L453" s="1">
        <f>((Fórmulas!C$6/Fórmulas!D$6)/0.7)*K453</f>
        <v>2.4489795918367347</v>
      </c>
      <c r="M453" s="1">
        <f>L453*Fórmulas!D$6</f>
        <v>857.14285714285711</v>
      </c>
    </row>
    <row r="454" spans="1:13" s="22" customFormat="1" x14ac:dyDescent="0.25">
      <c r="A454" s="22" t="s">
        <v>776</v>
      </c>
      <c r="B454" s="26" t="s">
        <v>783</v>
      </c>
      <c r="C454" s="26"/>
      <c r="D454" s="26"/>
      <c r="E454" s="22">
        <v>30.7</v>
      </c>
      <c r="G454" s="1">
        <f>((Fórmulas!C$6/Fórmulas!D$6)/Fórmulas!E$6)*E454</f>
        <v>75.183673469387756</v>
      </c>
      <c r="H454" s="1">
        <f>G454*Fórmulas!B$9</f>
        <v>26314.285714285714</v>
      </c>
      <c r="I454" s="7">
        <f t="shared" si="12"/>
        <v>51.166666666666664</v>
      </c>
      <c r="K454" s="1">
        <v>1</v>
      </c>
      <c r="L454" s="1">
        <f>((Fórmulas!C$6/Fórmulas!D$6)/0.7)*K454</f>
        <v>2.4489795918367347</v>
      </c>
      <c r="M454" s="1">
        <f>L454*Fórmulas!D$6</f>
        <v>857.14285714285711</v>
      </c>
    </row>
    <row r="455" spans="1:13" s="22" customFormat="1" x14ac:dyDescent="0.25">
      <c r="A455" s="22" t="s">
        <v>776</v>
      </c>
      <c r="B455" s="26" t="s">
        <v>784</v>
      </c>
      <c r="C455" s="26"/>
      <c r="D455" s="26"/>
      <c r="E455" s="22">
        <v>30.7</v>
      </c>
      <c r="G455" s="1">
        <f>((Fórmulas!C$6/Fórmulas!D$6)/Fórmulas!E$6)*E455</f>
        <v>75.183673469387756</v>
      </c>
      <c r="H455" s="1">
        <f>G455*Fórmulas!B$9</f>
        <v>26314.285714285714</v>
      </c>
      <c r="I455" s="7">
        <f t="shared" si="12"/>
        <v>51.166666666666664</v>
      </c>
      <c r="K455" s="1">
        <v>1</v>
      </c>
      <c r="L455" s="1">
        <f>((Fórmulas!C$6/Fórmulas!D$6)/0.7)*K455</f>
        <v>2.4489795918367347</v>
      </c>
      <c r="M455" s="1">
        <f>L455*Fórmulas!D$6</f>
        <v>857.14285714285711</v>
      </c>
    </row>
    <row r="456" spans="1:13" s="22" customFormat="1" x14ac:dyDescent="0.25">
      <c r="A456" s="22" t="s">
        <v>776</v>
      </c>
      <c r="B456" s="26" t="s">
        <v>777</v>
      </c>
      <c r="C456" s="26"/>
      <c r="D456" s="26"/>
      <c r="E456" s="22">
        <v>23</v>
      </c>
      <c r="G456" s="1">
        <f>((Fórmulas!C$6/Fórmulas!D$6)/Fórmulas!E$6)*E456</f>
        <v>56.326530612244902</v>
      </c>
      <c r="H456" s="1">
        <f>G456*Fórmulas!B$9</f>
        <v>19714.285714285717</v>
      </c>
      <c r="I456" s="7">
        <f t="shared" si="12"/>
        <v>38.333333333333336</v>
      </c>
      <c r="K456" s="1">
        <v>1</v>
      </c>
      <c r="L456" s="1">
        <f>((Fórmulas!C$6/Fórmulas!D$6)/0.7)*K456</f>
        <v>2.4489795918367347</v>
      </c>
      <c r="M456" s="1">
        <f>L456*Fórmulas!D$6</f>
        <v>857.14285714285711</v>
      </c>
    </row>
    <row r="457" spans="1:13" s="22" customFormat="1" x14ac:dyDescent="0.25">
      <c r="A457" s="22" t="s">
        <v>776</v>
      </c>
      <c r="B457" s="25" t="s">
        <v>778</v>
      </c>
      <c r="C457" s="25"/>
      <c r="D457" s="25"/>
      <c r="E457" s="22">
        <v>23</v>
      </c>
      <c r="G457" s="1">
        <f>((Fórmulas!C$6/Fórmulas!D$6)/Fórmulas!E$6)*E457</f>
        <v>56.326530612244902</v>
      </c>
      <c r="H457" s="1">
        <f>G457*Fórmulas!B$9</f>
        <v>19714.285714285717</v>
      </c>
      <c r="I457" s="7">
        <f t="shared" si="12"/>
        <v>38.333333333333336</v>
      </c>
      <c r="K457" s="1">
        <v>1</v>
      </c>
      <c r="L457" s="1">
        <f>((Fórmulas!C$6/Fórmulas!D$6)/0.7)*K457</f>
        <v>2.4489795918367347</v>
      </c>
      <c r="M457" s="1">
        <f>L457*Fórmulas!D$6</f>
        <v>857.14285714285711</v>
      </c>
    </row>
    <row r="458" spans="1:13" s="22" customFormat="1" x14ac:dyDescent="0.25">
      <c r="A458" s="22" t="s">
        <v>776</v>
      </c>
      <c r="B458" s="25" t="s">
        <v>785</v>
      </c>
      <c r="C458" s="25"/>
      <c r="D458" s="25"/>
      <c r="E458" s="22">
        <v>33</v>
      </c>
      <c r="G458" s="1">
        <f>((Fórmulas!C$6/Fórmulas!D$6)/Fórmulas!E$6)*E458</f>
        <v>80.816326530612244</v>
      </c>
      <c r="H458" s="1">
        <f>G458*Fórmulas!B$9</f>
        <v>28285.714285714286</v>
      </c>
      <c r="I458" s="7">
        <f t="shared" si="12"/>
        <v>55</v>
      </c>
      <c r="K458" s="1">
        <v>1</v>
      </c>
      <c r="L458" s="1">
        <f>((Fórmulas!C$6/Fórmulas!D$6)/0.7)*K458</f>
        <v>2.4489795918367347</v>
      </c>
      <c r="M458" s="1">
        <f>L458*Fórmulas!D$6</f>
        <v>857.14285714285711</v>
      </c>
    </row>
    <row r="459" spans="1:13" s="22" customFormat="1" x14ac:dyDescent="0.25">
      <c r="A459" s="22" t="s">
        <v>776</v>
      </c>
      <c r="B459" s="25" t="s">
        <v>789</v>
      </c>
      <c r="C459" s="25"/>
      <c r="D459" s="25"/>
      <c r="E459" s="22">
        <v>29</v>
      </c>
      <c r="G459" s="1">
        <f>((Fórmulas!C$6/Fórmulas!D$6)/Fórmulas!E$6)*E459</f>
        <v>71.020408163265301</v>
      </c>
      <c r="H459" s="1">
        <f>G459*Fórmulas!B$9</f>
        <v>24857.142857142855</v>
      </c>
      <c r="I459" s="7">
        <f t="shared" si="12"/>
        <v>48.333333333333336</v>
      </c>
      <c r="K459" s="1">
        <v>1</v>
      </c>
      <c r="L459" s="1">
        <f>((Fórmulas!C$6/Fórmulas!D$6)/0.7)*K459</f>
        <v>2.4489795918367347</v>
      </c>
      <c r="M459" s="1">
        <f>L459*Fórmulas!D$6</f>
        <v>857.14285714285711</v>
      </c>
    </row>
    <row r="460" spans="1:13" s="22" customFormat="1" x14ac:dyDescent="0.25">
      <c r="A460" s="22" t="s">
        <v>776</v>
      </c>
      <c r="B460" s="25" t="s">
        <v>779</v>
      </c>
      <c r="C460" s="25"/>
      <c r="D460" s="25"/>
      <c r="E460" s="22">
        <v>40</v>
      </c>
      <c r="G460" s="1">
        <f>((Fórmulas!C$6/Fórmulas!D$6)/Fórmulas!E$6)*E460</f>
        <v>97.959183673469397</v>
      </c>
      <c r="H460" s="1">
        <f>G460*Fórmulas!B$9</f>
        <v>34285.71428571429</v>
      </c>
      <c r="I460" s="7">
        <f t="shared" si="12"/>
        <v>66.666666666666671</v>
      </c>
      <c r="K460" s="1">
        <v>1</v>
      </c>
      <c r="L460" s="1">
        <f>((Fórmulas!C$6/Fórmulas!D$6)/0.7)*K460</f>
        <v>2.4489795918367347</v>
      </c>
      <c r="M460" s="1">
        <f>L460*Fórmulas!D$6</f>
        <v>857.14285714285711</v>
      </c>
    </row>
    <row r="461" spans="1:13" s="4" customFormat="1" x14ac:dyDescent="0.25">
      <c r="A461" s="22" t="s">
        <v>776</v>
      </c>
      <c r="B461" s="25" t="s">
        <v>790</v>
      </c>
      <c r="C461" s="25"/>
      <c r="D461" s="25"/>
      <c r="E461" s="4">
        <v>26.55</v>
      </c>
      <c r="G461" s="1">
        <f>((Fórmulas!C$6/Fórmulas!D$6)/Fórmulas!E$6)*E461</f>
        <v>65.020408163265316</v>
      </c>
      <c r="H461" s="1">
        <f>G461*Fórmulas!B$9</f>
        <v>22757.142857142859</v>
      </c>
      <c r="I461" s="7">
        <f t="shared" si="8"/>
        <v>44.25</v>
      </c>
      <c r="K461" s="1">
        <v>1</v>
      </c>
      <c r="L461" s="1">
        <f>((Fórmulas!C$6/Fórmulas!D$6)/0.7)*K461</f>
        <v>2.4489795918367347</v>
      </c>
      <c r="M461" s="1">
        <f>L461*Fórmulas!D$6</f>
        <v>857.14285714285711</v>
      </c>
    </row>
    <row r="462" spans="1:13" s="4" customFormat="1" x14ac:dyDescent="0.25">
      <c r="A462" s="22" t="s">
        <v>776</v>
      </c>
      <c r="B462" s="25" t="s">
        <v>788</v>
      </c>
      <c r="C462" s="25"/>
      <c r="D462" s="25"/>
      <c r="E462" s="4">
        <v>26.55</v>
      </c>
      <c r="G462" s="1">
        <f>((Fórmulas!C$6/Fórmulas!D$6)/Fórmulas!E$6)*E462</f>
        <v>65.020408163265316</v>
      </c>
      <c r="H462" s="1">
        <f>G462*Fórmulas!B$9</f>
        <v>22757.142857142859</v>
      </c>
      <c r="I462" s="7">
        <f t="shared" si="8"/>
        <v>44.25</v>
      </c>
      <c r="K462" s="1">
        <v>1</v>
      </c>
      <c r="L462" s="1">
        <f>((Fórmulas!C$6/Fórmulas!D$6)/0.7)*K462</f>
        <v>2.4489795918367347</v>
      </c>
      <c r="M462" s="1">
        <f>L462*Fórmulas!D$6</f>
        <v>857.14285714285711</v>
      </c>
    </row>
    <row r="463" spans="1:13" s="4" customFormat="1" x14ac:dyDescent="0.25">
      <c r="A463" s="22" t="s">
        <v>776</v>
      </c>
      <c r="B463" s="25" t="s">
        <v>791</v>
      </c>
      <c r="C463" s="25"/>
      <c r="D463" s="25"/>
      <c r="E463" s="4">
        <v>26.55</v>
      </c>
      <c r="G463" s="1">
        <f>((Fórmulas!C$6/Fórmulas!D$6)/Fórmulas!E$6)*E463</f>
        <v>65.020408163265316</v>
      </c>
      <c r="H463" s="1">
        <f>G463*Fórmulas!B$9</f>
        <v>22757.142857142859</v>
      </c>
      <c r="I463" s="7">
        <f t="shared" si="8"/>
        <v>44.25</v>
      </c>
      <c r="K463" s="1">
        <v>1</v>
      </c>
      <c r="L463" s="1">
        <f>((Fórmulas!C$6/Fórmulas!D$6)/0.7)*K463</f>
        <v>2.4489795918367347</v>
      </c>
      <c r="M463" s="1">
        <f>L463*Fórmulas!D$6</f>
        <v>857.14285714285711</v>
      </c>
    </row>
    <row r="464" spans="1:13" s="4" customFormat="1" x14ac:dyDescent="0.25">
      <c r="A464" s="22" t="s">
        <v>776</v>
      </c>
      <c r="B464" s="25" t="s">
        <v>792</v>
      </c>
      <c r="C464" s="25"/>
      <c r="D464" s="25"/>
      <c r="E464" s="4">
        <v>26.55</v>
      </c>
      <c r="G464" s="1">
        <f>((Fórmulas!C$6/Fórmulas!D$6)/Fórmulas!E$6)*E464</f>
        <v>65.020408163265316</v>
      </c>
      <c r="H464" s="1">
        <f>G464*Fórmulas!B$9</f>
        <v>22757.142857142859</v>
      </c>
      <c r="I464" s="7">
        <f t="shared" si="8"/>
        <v>44.25</v>
      </c>
      <c r="K464" s="1">
        <v>1</v>
      </c>
      <c r="L464" s="1">
        <f>((Fórmulas!C$6/Fórmulas!D$6)/0.7)*K464</f>
        <v>2.4489795918367347</v>
      </c>
      <c r="M464" s="1">
        <f>L464*Fórmulas!D$6</f>
        <v>857.14285714285711</v>
      </c>
    </row>
    <row r="465" spans="1:13" s="4" customFormat="1" x14ac:dyDescent="0.25">
      <c r="A465" s="22" t="s">
        <v>776</v>
      </c>
      <c r="B465" s="25" t="s">
        <v>780</v>
      </c>
      <c r="C465" s="25"/>
      <c r="D465" s="25"/>
      <c r="E465" s="4">
        <v>26.55</v>
      </c>
      <c r="G465" s="1">
        <f>((Fórmulas!C$6/Fórmulas!D$6)/Fórmulas!E$6)*E465</f>
        <v>65.020408163265316</v>
      </c>
      <c r="H465" s="1">
        <f>G465*Fórmulas!B$9</f>
        <v>22757.142857142859</v>
      </c>
      <c r="I465" s="7">
        <f t="shared" si="8"/>
        <v>44.25</v>
      </c>
      <c r="K465" s="1">
        <v>1</v>
      </c>
      <c r="L465" s="1">
        <f>((Fórmulas!C$6/Fórmulas!D$6)/0.7)*K465</f>
        <v>2.4489795918367347</v>
      </c>
      <c r="M465" s="1">
        <f>L465*Fórmulas!D$6</f>
        <v>857.14285714285711</v>
      </c>
    </row>
    <row r="466" spans="1:13" s="4" customFormat="1" x14ac:dyDescent="0.25">
      <c r="A466" s="22" t="s">
        <v>776</v>
      </c>
      <c r="B466" s="25" t="s">
        <v>781</v>
      </c>
      <c r="C466" s="25"/>
      <c r="D466" s="25"/>
      <c r="E466" s="4">
        <v>26.55</v>
      </c>
      <c r="G466" s="1">
        <f>((Fórmulas!C$6/Fórmulas!D$6)/Fórmulas!E$6)*E466</f>
        <v>65.020408163265316</v>
      </c>
      <c r="H466" s="1">
        <f>G466*Fórmulas!B$9</f>
        <v>22757.142857142859</v>
      </c>
      <c r="I466" s="7">
        <f t="shared" si="8"/>
        <v>44.25</v>
      </c>
      <c r="K466" s="1">
        <v>1</v>
      </c>
      <c r="L466" s="1">
        <f>((Fórmulas!C$6/Fórmulas!D$6)/0.7)*K466</f>
        <v>2.4489795918367347</v>
      </c>
      <c r="M466" s="1">
        <f>L466*Fórmulas!D$6</f>
        <v>857.14285714285711</v>
      </c>
    </row>
    <row r="467" spans="1:13" s="4" customFormat="1" x14ac:dyDescent="0.25">
      <c r="A467" s="22" t="s">
        <v>776</v>
      </c>
      <c r="B467" s="25" t="s">
        <v>786</v>
      </c>
      <c r="C467" s="25"/>
      <c r="D467" s="25"/>
      <c r="E467" s="4">
        <v>30.7</v>
      </c>
      <c r="G467" s="1">
        <f>((Fórmulas!C$6/Fórmulas!D$6)/Fórmulas!E$6)*E467</f>
        <v>75.183673469387756</v>
      </c>
      <c r="H467" s="1">
        <f>G467*Fórmulas!B$9</f>
        <v>26314.285714285714</v>
      </c>
      <c r="I467" s="7">
        <f t="shared" si="8"/>
        <v>51.166666666666664</v>
      </c>
      <c r="K467" s="1">
        <v>1</v>
      </c>
      <c r="L467" s="1">
        <f>((Fórmulas!C$6/Fórmulas!D$6)/0.7)*K467</f>
        <v>2.4489795918367347</v>
      </c>
      <c r="M467" s="1">
        <f>L467*Fórmulas!D$6</f>
        <v>857.14285714285711</v>
      </c>
    </row>
    <row r="468" spans="1:13" x14ac:dyDescent="0.25">
      <c r="A468" s="22" t="s">
        <v>776</v>
      </c>
      <c r="B468" s="25" t="s">
        <v>782</v>
      </c>
      <c r="C468" s="25"/>
      <c r="D468" s="25"/>
      <c r="E468" s="9">
        <v>40</v>
      </c>
      <c r="F468" s="9"/>
      <c r="G468" s="1">
        <f>((Fórmulas!C$6/Fórmulas!D$6)/Fórmulas!E$6)*E468</f>
        <v>97.959183673469397</v>
      </c>
      <c r="H468" s="1">
        <f>G468*Fórmulas!B$9</f>
        <v>34285.71428571429</v>
      </c>
      <c r="I468" s="7">
        <f t="shared" si="8"/>
        <v>66.666666666666671</v>
      </c>
      <c r="J468" s="9"/>
      <c r="K468" s="1">
        <v>1</v>
      </c>
      <c r="L468" s="1">
        <f>((Fórmulas!C$6/Fórmulas!D$6)/0.7)*K468</f>
        <v>2.4489795918367347</v>
      </c>
      <c r="M468" s="1">
        <f>L468*Fórmulas!D$6</f>
        <v>857.14285714285711</v>
      </c>
    </row>
    <row r="469" spans="1:13" s="9" customFormat="1" x14ac:dyDescent="0.25">
      <c r="A469" s="22" t="s">
        <v>776</v>
      </c>
      <c r="B469" s="27" t="s">
        <v>787</v>
      </c>
      <c r="C469" s="27"/>
      <c r="D469" s="27"/>
      <c r="E469" s="9">
        <v>30.7</v>
      </c>
      <c r="G469" s="1">
        <f>((Fórmulas!C$6/Fórmulas!D$6)/Fórmulas!E$6)*E469</f>
        <v>75.183673469387756</v>
      </c>
      <c r="H469" s="1">
        <f>G469*Fórmulas!B$9</f>
        <v>26314.285714285714</v>
      </c>
      <c r="I469" s="7">
        <f t="shared" si="8"/>
        <v>51.166666666666664</v>
      </c>
      <c r="K469" s="1">
        <v>1</v>
      </c>
      <c r="L469" s="1">
        <f>((Fórmulas!C$6/Fórmulas!D$6)/0.7)*K469</f>
        <v>2.4489795918367347</v>
      </c>
      <c r="M469" s="1">
        <f>L469*Fórmulas!D$6</f>
        <v>857.14285714285711</v>
      </c>
    </row>
    <row r="470" spans="1:13" s="9" customFormat="1" x14ac:dyDescent="0.25">
      <c r="A470" s="22" t="s">
        <v>776</v>
      </c>
      <c r="B470" s="25" t="s">
        <v>814</v>
      </c>
      <c r="C470" s="25"/>
      <c r="D470" s="25"/>
      <c r="E470" s="9">
        <v>40</v>
      </c>
      <c r="G470" s="1">
        <f>((Fórmulas!C$6/Fórmulas!D$6)/Fórmulas!E$6)*E470</f>
        <v>97.959183673469397</v>
      </c>
      <c r="H470" s="1">
        <f>G470*Fórmulas!B$9</f>
        <v>34285.71428571429</v>
      </c>
      <c r="I470" s="7">
        <f t="shared" si="8"/>
        <v>66.666666666666671</v>
      </c>
      <c r="K470" s="1">
        <v>1</v>
      </c>
      <c r="L470" s="1">
        <f>((Fórmulas!C$6/Fórmulas!D$6)/0.7)*K470</f>
        <v>2.4489795918367347</v>
      </c>
      <c r="M470" s="1">
        <f>L470*Fórmulas!D$6</f>
        <v>857.14285714285711</v>
      </c>
    </row>
    <row r="471" spans="1:13" s="9" customFormat="1" x14ac:dyDescent="0.25">
      <c r="A471" s="22" t="s">
        <v>776</v>
      </c>
      <c r="B471" s="25" t="s">
        <v>815</v>
      </c>
      <c r="C471" s="25"/>
      <c r="D471" s="25"/>
      <c r="E471" s="9">
        <v>30.7</v>
      </c>
      <c r="G471" s="1">
        <f>((Fórmulas!C$6/Fórmulas!D$6)/Fórmulas!E$6)*E471</f>
        <v>75.183673469387756</v>
      </c>
      <c r="H471" s="1">
        <f>G471*Fórmulas!B$9</f>
        <v>26314.285714285714</v>
      </c>
      <c r="I471" s="7">
        <f t="shared" si="8"/>
        <v>51.166666666666664</v>
      </c>
      <c r="K471" s="1">
        <v>1</v>
      </c>
      <c r="L471" s="1">
        <f>((Fórmulas!C$6/Fórmulas!D$6)/0.7)*K471</f>
        <v>2.4489795918367347</v>
      </c>
      <c r="M471" s="1">
        <f>L471*Fórmulas!D$6</f>
        <v>857.14285714285711</v>
      </c>
    </row>
    <row r="472" spans="1:13" s="22" customFormat="1" x14ac:dyDescent="0.25">
      <c r="B472" s="26"/>
      <c r="C472" s="26"/>
      <c r="D472" s="26"/>
      <c r="E472" s="22">
        <v>0</v>
      </c>
      <c r="G472" s="1">
        <f>((Fórmulas!C$6/Fórmulas!D$6)/Fórmulas!E$6)*E472</f>
        <v>0</v>
      </c>
      <c r="H472" s="1">
        <f>G472*Fórmulas!B$9</f>
        <v>0</v>
      </c>
      <c r="I472" s="7">
        <f t="shared" ref="I472:I475" si="13">E472/0.6</f>
        <v>0</v>
      </c>
      <c r="K472" s="1">
        <v>1</v>
      </c>
      <c r="L472" s="1">
        <f>((Fórmulas!C$6/Fórmulas!D$6)/0.7)*K472</f>
        <v>2.4489795918367347</v>
      </c>
      <c r="M472" s="1">
        <f>L472*Fórmulas!D$6</f>
        <v>857.14285714285711</v>
      </c>
    </row>
    <row r="473" spans="1:13" s="22" customFormat="1" x14ac:dyDescent="0.25">
      <c r="B473" s="26"/>
      <c r="C473" s="26"/>
      <c r="D473" s="26"/>
      <c r="E473" s="22">
        <v>0</v>
      </c>
      <c r="G473" s="1">
        <f>((Fórmulas!C$6/Fórmulas!D$6)/Fórmulas!E$6)*E473</f>
        <v>0</v>
      </c>
      <c r="H473" s="1">
        <f>G473*Fórmulas!B$9</f>
        <v>0</v>
      </c>
      <c r="I473" s="7">
        <f t="shared" si="13"/>
        <v>0</v>
      </c>
      <c r="K473" s="1">
        <v>1</v>
      </c>
      <c r="L473" s="1">
        <f>((Fórmulas!C$6/Fórmulas!D$6)/0.7)*K473</f>
        <v>2.4489795918367347</v>
      </c>
      <c r="M473" s="1">
        <f>L473*Fórmulas!D$6</f>
        <v>857.14285714285711</v>
      </c>
    </row>
    <row r="474" spans="1:13" s="22" customFormat="1" x14ac:dyDescent="0.25">
      <c r="B474" s="26"/>
      <c r="C474" s="26"/>
      <c r="D474" s="26"/>
      <c r="E474" s="22">
        <v>0</v>
      </c>
      <c r="G474" s="1">
        <f>((Fórmulas!C$6/Fórmulas!D$6)/Fórmulas!E$6)*E474</f>
        <v>0</v>
      </c>
      <c r="H474" s="1">
        <f>G474*Fórmulas!B$9</f>
        <v>0</v>
      </c>
      <c r="I474" s="7">
        <f t="shared" si="13"/>
        <v>0</v>
      </c>
      <c r="K474" s="1">
        <v>1</v>
      </c>
      <c r="L474" s="1">
        <f>((Fórmulas!C$6/Fórmulas!D$6)/0.7)*K474</f>
        <v>2.4489795918367347</v>
      </c>
      <c r="M474" s="1">
        <f>L474*Fórmulas!D$6</f>
        <v>857.14285714285711</v>
      </c>
    </row>
    <row r="475" spans="1:13" s="22" customFormat="1" x14ac:dyDescent="0.25">
      <c r="B475" s="26"/>
      <c r="C475" s="26"/>
      <c r="D475" s="26"/>
      <c r="E475" s="22">
        <v>0</v>
      </c>
      <c r="G475" s="1">
        <f>((Fórmulas!C$6/Fórmulas!D$6)/Fórmulas!E$6)*E475</f>
        <v>0</v>
      </c>
      <c r="H475" s="1">
        <f>G475*Fórmulas!B$9</f>
        <v>0</v>
      </c>
      <c r="I475" s="7">
        <f t="shared" si="13"/>
        <v>0</v>
      </c>
      <c r="K475" s="1">
        <v>1</v>
      </c>
      <c r="L475" s="1">
        <f>((Fórmulas!C$6/Fórmulas!D$6)/0.7)*K475</f>
        <v>2.4489795918367347</v>
      </c>
      <c r="M475" s="1">
        <f>L475*Fórmulas!D$6</f>
        <v>857.14285714285711</v>
      </c>
    </row>
    <row r="476" spans="1:13" s="9" customFormat="1" x14ac:dyDescent="0.25">
      <c r="A476" s="9" t="s">
        <v>486</v>
      </c>
      <c r="B476" s="26" t="s">
        <v>487</v>
      </c>
      <c r="C476" s="26"/>
      <c r="D476" s="26"/>
      <c r="E476" s="11">
        <v>16</v>
      </c>
      <c r="G476" s="1">
        <f>((Fórmulas!C$6/Fórmulas!D$6)/Fórmulas!E$6)*E476</f>
        <v>39.183673469387756</v>
      </c>
      <c r="H476" s="1">
        <f>G476*Fórmulas!B$9</f>
        <v>13714.285714285714</v>
      </c>
      <c r="I476" s="7">
        <f t="shared" si="8"/>
        <v>26.666666666666668</v>
      </c>
      <c r="K476" s="1">
        <v>1</v>
      </c>
      <c r="L476" s="1">
        <f>((Fórmulas!C$6/Fórmulas!D$6)/0.7)*K476</f>
        <v>2.4489795918367347</v>
      </c>
      <c r="M476" s="1">
        <f>L476*Fórmulas!D$6</f>
        <v>857.14285714285711</v>
      </c>
    </row>
    <row r="477" spans="1:13" s="9" customFormat="1" x14ac:dyDescent="0.25">
      <c r="A477" s="9" t="s">
        <v>486</v>
      </c>
      <c r="B477" s="26" t="s">
        <v>488</v>
      </c>
      <c r="C477" s="26"/>
      <c r="D477" s="26"/>
      <c r="E477" s="11">
        <v>16</v>
      </c>
      <c r="G477" s="1">
        <f>((Fórmulas!C$6/Fórmulas!D$6)/Fórmulas!E$6)*E477</f>
        <v>39.183673469387756</v>
      </c>
      <c r="H477" s="1">
        <f>G477*Fórmulas!B$9</f>
        <v>13714.285714285714</v>
      </c>
      <c r="I477" s="7">
        <f t="shared" si="8"/>
        <v>26.666666666666668</v>
      </c>
      <c r="K477" s="1">
        <v>1</v>
      </c>
      <c r="L477" s="1">
        <f>((Fórmulas!C$6/Fórmulas!D$6)/0.7)*K477</f>
        <v>2.4489795918367347</v>
      </c>
      <c r="M477" s="1">
        <f>L477*Fórmulas!D$6</f>
        <v>857.14285714285711</v>
      </c>
    </row>
    <row r="478" spans="1:13" s="9" customFormat="1" x14ac:dyDescent="0.25">
      <c r="A478" s="9" t="s">
        <v>486</v>
      </c>
      <c r="B478" s="26" t="s">
        <v>503</v>
      </c>
      <c r="C478" s="26"/>
      <c r="D478" s="26"/>
      <c r="E478" s="11">
        <v>16</v>
      </c>
      <c r="G478" s="1">
        <f>((Fórmulas!C$6/Fórmulas!D$6)/Fórmulas!E$6)*E478</f>
        <v>39.183673469387756</v>
      </c>
      <c r="H478" s="1">
        <f>G478*Fórmulas!B$9</f>
        <v>13714.285714285714</v>
      </c>
      <c r="I478" s="7">
        <f t="shared" si="8"/>
        <v>26.666666666666668</v>
      </c>
      <c r="K478" s="1">
        <v>1</v>
      </c>
      <c r="L478" s="1">
        <f>((Fórmulas!C$6/Fórmulas!D$6)/0.7)*K478</f>
        <v>2.4489795918367347</v>
      </c>
      <c r="M478" s="1">
        <f>L478*Fórmulas!D$6</f>
        <v>857.14285714285711</v>
      </c>
    </row>
    <row r="479" spans="1:13" s="9" customFormat="1" x14ac:dyDescent="0.25">
      <c r="A479" s="9" t="s">
        <v>486</v>
      </c>
      <c r="B479" s="25" t="s">
        <v>504</v>
      </c>
      <c r="C479" s="25"/>
      <c r="D479" s="25"/>
      <c r="E479" s="11">
        <v>25.8</v>
      </c>
      <c r="G479" s="1">
        <f>((Fórmulas!C$6/Fórmulas!D$6)/Fórmulas!E$6)*E479</f>
        <v>63.183673469387756</v>
      </c>
      <c r="H479" s="1">
        <f>G479*Fórmulas!B$9</f>
        <v>22114.285714285714</v>
      </c>
      <c r="I479" s="7">
        <f t="shared" si="8"/>
        <v>43</v>
      </c>
      <c r="K479" s="1">
        <v>1</v>
      </c>
      <c r="L479" s="1">
        <f>((Fórmulas!C$6/Fórmulas!D$6)/0.7)*K479</f>
        <v>2.4489795918367347</v>
      </c>
      <c r="M479" s="1">
        <f>L479*Fórmulas!D$6</f>
        <v>857.14285714285711</v>
      </c>
    </row>
    <row r="480" spans="1:13" s="9" customFormat="1" x14ac:dyDescent="0.25">
      <c r="A480" s="9" t="s">
        <v>486</v>
      </c>
      <c r="B480" s="25" t="s">
        <v>499</v>
      </c>
      <c r="C480" s="25"/>
      <c r="D480" s="25"/>
      <c r="E480" s="11">
        <v>23.8</v>
      </c>
      <c r="G480" s="1">
        <f>((Fórmulas!C$6/Fórmulas!D$6)/Fórmulas!E$6)*E480</f>
        <v>58.285714285714292</v>
      </c>
      <c r="H480" s="1">
        <f>G480*Fórmulas!B$9</f>
        <v>20400.000000000004</v>
      </c>
      <c r="I480" s="7">
        <f t="shared" si="8"/>
        <v>39.666666666666671</v>
      </c>
      <c r="K480" s="1">
        <v>1</v>
      </c>
      <c r="L480" s="1">
        <f>((Fórmulas!C$6/Fórmulas!D$6)/0.7)*K480</f>
        <v>2.4489795918367347</v>
      </c>
      <c r="M480" s="1">
        <f>L480*Fórmulas!D$6</f>
        <v>857.14285714285711</v>
      </c>
    </row>
    <row r="481" spans="1:13" s="9" customFormat="1" x14ac:dyDescent="0.25">
      <c r="A481" s="9" t="s">
        <v>486</v>
      </c>
      <c r="B481" s="25" t="s">
        <v>494</v>
      </c>
      <c r="C481" s="25"/>
      <c r="D481" s="25"/>
      <c r="E481" s="11">
        <v>18.3</v>
      </c>
      <c r="G481" s="1">
        <f>((Fórmulas!C$6/Fórmulas!D$6)/Fórmulas!E$6)*E481</f>
        <v>44.816326530612251</v>
      </c>
      <c r="H481" s="1">
        <f>G481*Fórmulas!B$9</f>
        <v>15685.714285714288</v>
      </c>
      <c r="I481" s="7">
        <f t="shared" si="8"/>
        <v>30.500000000000004</v>
      </c>
      <c r="K481" s="1">
        <v>1</v>
      </c>
      <c r="L481" s="1">
        <f>((Fórmulas!C$6/Fórmulas!D$6)/0.7)*K481</f>
        <v>2.4489795918367347</v>
      </c>
      <c r="M481" s="1">
        <f>L481*Fórmulas!D$6</f>
        <v>857.14285714285711</v>
      </c>
    </row>
    <row r="482" spans="1:13" s="9" customFormat="1" x14ac:dyDescent="0.25">
      <c r="A482" s="9" t="s">
        <v>486</v>
      </c>
      <c r="B482" s="25" t="s">
        <v>489</v>
      </c>
      <c r="C482" s="25"/>
      <c r="D482" s="25"/>
      <c r="E482" s="11">
        <v>20.7</v>
      </c>
      <c r="G482" s="1">
        <f>((Fórmulas!C$6/Fórmulas!D$6)/Fórmulas!E$6)*E482</f>
        <v>50.693877551020407</v>
      </c>
      <c r="H482" s="1">
        <f>G482*Fórmulas!B$9</f>
        <v>17742.857142857141</v>
      </c>
      <c r="I482" s="7">
        <f t="shared" si="8"/>
        <v>34.5</v>
      </c>
      <c r="K482" s="1">
        <v>1</v>
      </c>
      <c r="L482" s="1">
        <f>((Fórmulas!C$6/Fórmulas!D$6)/0.7)*K482</f>
        <v>2.4489795918367347</v>
      </c>
      <c r="M482" s="1">
        <f>L482*Fórmulas!D$6</f>
        <v>857.14285714285711</v>
      </c>
    </row>
    <row r="483" spans="1:13" s="9" customFormat="1" x14ac:dyDescent="0.25">
      <c r="A483" s="9" t="s">
        <v>486</v>
      </c>
      <c r="B483" s="25" t="s">
        <v>490</v>
      </c>
      <c r="C483" s="25"/>
      <c r="D483" s="25"/>
      <c r="E483" s="11">
        <v>18.3</v>
      </c>
      <c r="G483" s="1">
        <f>((Fórmulas!C$6/Fórmulas!D$6)/Fórmulas!E$6)*E483</f>
        <v>44.816326530612251</v>
      </c>
      <c r="H483" s="1">
        <f>G483*Fórmulas!B$9</f>
        <v>15685.714285714288</v>
      </c>
      <c r="I483" s="7">
        <f t="shared" si="8"/>
        <v>30.500000000000004</v>
      </c>
      <c r="K483" s="1">
        <v>1</v>
      </c>
      <c r="L483" s="1">
        <f>((Fórmulas!C$6/Fórmulas!D$6)/0.7)*K483</f>
        <v>2.4489795918367347</v>
      </c>
      <c r="M483" s="1">
        <f>L483*Fórmulas!D$6</f>
        <v>857.14285714285711</v>
      </c>
    </row>
    <row r="484" spans="1:13" s="9" customFormat="1" x14ac:dyDescent="0.25">
      <c r="A484" s="9" t="s">
        <v>486</v>
      </c>
      <c r="B484" s="25" t="s">
        <v>491</v>
      </c>
      <c r="C484" s="25"/>
      <c r="D484" s="25"/>
      <c r="E484" s="11">
        <v>17.100000000000001</v>
      </c>
      <c r="G484" s="1">
        <f>((Fórmulas!C$6/Fórmulas!D$6)/Fórmulas!E$6)*E484</f>
        <v>41.87755102040817</v>
      </c>
      <c r="H484" s="1">
        <f>G484*Fórmulas!B$9</f>
        <v>14657.142857142859</v>
      </c>
      <c r="I484" s="7">
        <f t="shared" si="8"/>
        <v>28.500000000000004</v>
      </c>
      <c r="K484" s="1">
        <v>1</v>
      </c>
      <c r="L484" s="1">
        <f>((Fórmulas!C$6/Fórmulas!D$6)/0.7)*K484</f>
        <v>2.4489795918367347</v>
      </c>
      <c r="M484" s="1">
        <f>L484*Fórmulas!D$6</f>
        <v>857.14285714285711</v>
      </c>
    </row>
    <row r="485" spans="1:13" s="9" customFormat="1" x14ac:dyDescent="0.25">
      <c r="A485" s="9" t="s">
        <v>486</v>
      </c>
      <c r="B485" s="25" t="s">
        <v>492</v>
      </c>
      <c r="C485" s="25"/>
      <c r="D485" s="25"/>
      <c r="E485" s="11">
        <v>15.1</v>
      </c>
      <c r="G485" s="1">
        <f>((Fórmulas!C$6/Fórmulas!D$6)/Fórmulas!E$6)*E485</f>
        <v>36.979591836734691</v>
      </c>
      <c r="H485" s="1">
        <f>G485*Fórmulas!B$9</f>
        <v>12942.857142857141</v>
      </c>
      <c r="I485" s="7">
        <f t="shared" si="8"/>
        <v>25.166666666666668</v>
      </c>
      <c r="K485" s="1">
        <v>1</v>
      </c>
      <c r="L485" s="1">
        <f>((Fórmulas!C$6/Fórmulas!D$6)/0.7)*K485</f>
        <v>2.4489795918367347</v>
      </c>
      <c r="M485" s="1">
        <f>L485*Fórmulas!D$6</f>
        <v>857.14285714285711</v>
      </c>
    </row>
    <row r="486" spans="1:13" s="9" customFormat="1" x14ac:dyDescent="0.25">
      <c r="A486" s="9" t="s">
        <v>486</v>
      </c>
      <c r="B486" s="25" t="s">
        <v>493</v>
      </c>
      <c r="C486" s="25"/>
      <c r="D486" s="25"/>
      <c r="E486" s="11">
        <v>16</v>
      </c>
      <c r="G486" s="1">
        <f>((Fórmulas!C$6/Fórmulas!D$6)/Fórmulas!E$6)*E486</f>
        <v>39.183673469387756</v>
      </c>
      <c r="H486" s="1">
        <f>G486*Fórmulas!B$9</f>
        <v>13714.285714285714</v>
      </c>
      <c r="I486" s="7">
        <f t="shared" si="8"/>
        <v>26.666666666666668</v>
      </c>
      <c r="K486" s="1">
        <v>1</v>
      </c>
      <c r="L486" s="1">
        <f>((Fórmulas!C$6/Fórmulas!D$6)/0.7)*K486</f>
        <v>2.4489795918367347</v>
      </c>
      <c r="M486" s="1">
        <f>L486*Fórmulas!D$6</f>
        <v>857.14285714285711</v>
      </c>
    </row>
    <row r="487" spans="1:13" s="9" customFormat="1" x14ac:dyDescent="0.25">
      <c r="A487" s="9" t="s">
        <v>486</v>
      </c>
      <c r="B487" s="25" t="s">
        <v>501</v>
      </c>
      <c r="C487" s="25"/>
      <c r="D487" s="25"/>
      <c r="E487" s="11">
        <v>17.899999999999999</v>
      </c>
      <c r="G487" s="1">
        <f>((Fórmulas!C$6/Fórmulas!D$6)/Fórmulas!E$6)*E487</f>
        <v>43.836734693877546</v>
      </c>
      <c r="H487" s="1">
        <f>G487*Fórmulas!B$9</f>
        <v>15342.857142857141</v>
      </c>
      <c r="I487" s="7">
        <f t="shared" si="8"/>
        <v>29.833333333333332</v>
      </c>
      <c r="K487" s="1">
        <v>1</v>
      </c>
      <c r="L487" s="1">
        <f>((Fórmulas!C$6/Fórmulas!D$6)/0.7)*K487</f>
        <v>2.4489795918367347</v>
      </c>
      <c r="M487" s="1">
        <f>L487*Fórmulas!D$6</f>
        <v>857.14285714285711</v>
      </c>
    </row>
    <row r="488" spans="1:13" s="9" customFormat="1" x14ac:dyDescent="0.25">
      <c r="A488" s="9" t="s">
        <v>486</v>
      </c>
      <c r="B488" s="25" t="s">
        <v>495</v>
      </c>
      <c r="C488" s="25"/>
      <c r="D488" s="25"/>
      <c r="E488" s="11">
        <v>25.8</v>
      </c>
      <c r="G488" s="1">
        <f>((Fórmulas!C$6/Fórmulas!D$6)/Fórmulas!E$6)*E488</f>
        <v>63.183673469387756</v>
      </c>
      <c r="H488" s="1">
        <f>G488*Fórmulas!B$9</f>
        <v>22114.285714285714</v>
      </c>
      <c r="I488" s="7">
        <f t="shared" si="8"/>
        <v>43</v>
      </c>
      <c r="K488" s="1">
        <v>1</v>
      </c>
      <c r="L488" s="1">
        <f>((Fórmulas!C$6/Fórmulas!D$6)/0.7)*K488</f>
        <v>2.4489795918367347</v>
      </c>
      <c r="M488" s="1">
        <f>L488*Fórmulas!D$6</f>
        <v>857.14285714285711</v>
      </c>
    </row>
    <row r="489" spans="1:13" s="9" customFormat="1" x14ac:dyDescent="0.25">
      <c r="A489" s="9" t="s">
        <v>486</v>
      </c>
      <c r="B489" s="25" t="s">
        <v>496</v>
      </c>
      <c r="C489" s="25"/>
      <c r="D489" s="25"/>
      <c r="E489" s="11">
        <v>23.45</v>
      </c>
      <c r="G489" s="1">
        <f>((Fórmulas!C$6/Fórmulas!D$6)/Fórmulas!E$6)*E489</f>
        <v>57.428571428571431</v>
      </c>
      <c r="H489" s="1">
        <f>G489*Fórmulas!B$9</f>
        <v>20100</v>
      </c>
      <c r="I489" s="7">
        <f t="shared" si="8"/>
        <v>39.083333333333336</v>
      </c>
      <c r="K489" s="1">
        <v>1</v>
      </c>
      <c r="L489" s="1">
        <f>((Fórmulas!C$6/Fórmulas!D$6)/0.7)*K489</f>
        <v>2.4489795918367347</v>
      </c>
      <c r="M489" s="1">
        <f>L489*Fórmulas!D$6</f>
        <v>857.14285714285711</v>
      </c>
    </row>
    <row r="490" spans="1:13" s="9" customFormat="1" x14ac:dyDescent="0.25">
      <c r="A490" s="9" t="s">
        <v>486</v>
      </c>
      <c r="B490" s="25" t="s">
        <v>497</v>
      </c>
      <c r="C490" s="25"/>
      <c r="D490" s="25"/>
      <c r="E490" s="11">
        <v>21.85</v>
      </c>
      <c r="G490" s="1">
        <f>((Fórmulas!C$6/Fórmulas!D$6)/Fórmulas!E$6)*E490</f>
        <v>53.510204081632658</v>
      </c>
      <c r="H490" s="1">
        <f>G490*Fórmulas!B$9</f>
        <v>18728.571428571431</v>
      </c>
      <c r="I490" s="7">
        <f t="shared" si="8"/>
        <v>36.416666666666671</v>
      </c>
      <c r="K490" s="1">
        <v>1</v>
      </c>
      <c r="L490" s="1">
        <f>((Fórmulas!C$6/Fórmulas!D$6)/0.7)*K490</f>
        <v>2.4489795918367347</v>
      </c>
      <c r="M490" s="1">
        <f>L490*Fórmulas!D$6</f>
        <v>857.14285714285711</v>
      </c>
    </row>
    <row r="491" spans="1:13" s="9" customFormat="1" x14ac:dyDescent="0.25">
      <c r="A491" s="9" t="s">
        <v>486</v>
      </c>
      <c r="B491" s="32" t="s">
        <v>498</v>
      </c>
      <c r="C491" s="32"/>
      <c r="D491" s="32"/>
      <c r="E491" s="11">
        <v>25.8</v>
      </c>
      <c r="G491" s="1">
        <f>((Fórmulas!C$6/Fórmulas!D$6)/Fórmulas!E$6)*E491</f>
        <v>63.183673469387756</v>
      </c>
      <c r="H491" s="1">
        <f>G491*Fórmulas!B$9</f>
        <v>22114.285714285714</v>
      </c>
      <c r="I491" s="7">
        <f t="shared" si="8"/>
        <v>43</v>
      </c>
      <c r="K491" s="1">
        <v>1</v>
      </c>
      <c r="L491" s="1">
        <f>((Fórmulas!C$6/Fórmulas!D$6)/0.7)*K491</f>
        <v>2.4489795918367347</v>
      </c>
      <c r="M491" s="1">
        <f>L491*Fórmulas!D$6</f>
        <v>857.14285714285711</v>
      </c>
    </row>
    <row r="492" spans="1:13" s="9" customFormat="1" x14ac:dyDescent="0.25">
      <c r="A492" s="9" t="s">
        <v>486</v>
      </c>
      <c r="B492" s="32" t="s">
        <v>502</v>
      </c>
      <c r="C492" s="32"/>
      <c r="D492" s="32"/>
      <c r="E492" s="11">
        <v>28</v>
      </c>
      <c r="G492" s="1">
        <f>((Fórmulas!C$6/Fórmulas!D$6)/Fórmulas!E$6)*E492</f>
        <v>68.571428571428569</v>
      </c>
      <c r="H492" s="1">
        <f>G492*Fórmulas!B$9</f>
        <v>24000</v>
      </c>
      <c r="I492" s="7">
        <f t="shared" si="8"/>
        <v>46.666666666666671</v>
      </c>
      <c r="K492" s="1">
        <v>1</v>
      </c>
      <c r="L492" s="1">
        <f>((Fórmulas!C$6/Fórmulas!D$6)/0.7)*K492</f>
        <v>2.4489795918367347</v>
      </c>
      <c r="M492" s="1">
        <f>L492*Fórmulas!D$6</f>
        <v>857.14285714285711</v>
      </c>
    </row>
    <row r="493" spans="1:13" s="9" customFormat="1" x14ac:dyDescent="0.25">
      <c r="A493" s="9" t="s">
        <v>486</v>
      </c>
      <c r="B493" s="32" t="s">
        <v>500</v>
      </c>
      <c r="C493" s="32"/>
      <c r="D493" s="32"/>
      <c r="E493" s="11">
        <v>25.8</v>
      </c>
      <c r="G493" s="1">
        <f>((Fórmulas!C$6/Fórmulas!D$6)/Fórmulas!E$6)*E493</f>
        <v>63.183673469387756</v>
      </c>
      <c r="H493" s="1">
        <f>G493*Fórmulas!B$9</f>
        <v>22114.285714285714</v>
      </c>
      <c r="I493" s="7">
        <f t="shared" si="8"/>
        <v>43</v>
      </c>
      <c r="K493" s="1">
        <v>1</v>
      </c>
      <c r="L493" s="1">
        <f>((Fórmulas!C$6/Fórmulas!D$6)/0.7)*K493</f>
        <v>2.4489795918367347</v>
      </c>
      <c r="M493" s="1">
        <f>L493*Fórmulas!D$6</f>
        <v>857.14285714285711</v>
      </c>
    </row>
    <row r="494" spans="1:13" s="9" customFormat="1" x14ac:dyDescent="0.25">
      <c r="A494" s="9" t="s">
        <v>486</v>
      </c>
      <c r="B494" s="32" t="s">
        <v>506</v>
      </c>
      <c r="C494" s="32"/>
      <c r="D494" s="32"/>
      <c r="E494" s="11">
        <v>25.8</v>
      </c>
      <c r="G494" s="1">
        <f>((Fórmulas!C$6/Fórmulas!D$6)/Fórmulas!E$6)*E494</f>
        <v>63.183673469387756</v>
      </c>
      <c r="H494" s="1">
        <f>G494*Fórmulas!B$9</f>
        <v>22114.285714285714</v>
      </c>
      <c r="I494" s="7">
        <f t="shared" si="8"/>
        <v>43</v>
      </c>
      <c r="K494" s="1">
        <v>1</v>
      </c>
      <c r="L494" s="1">
        <f>((Fórmulas!C$6/Fórmulas!D$6)/0.7)*K494</f>
        <v>2.4489795918367347</v>
      </c>
      <c r="M494" s="1">
        <f>L494*Fórmulas!D$6</f>
        <v>857.14285714285711</v>
      </c>
    </row>
    <row r="495" spans="1:13" s="9" customFormat="1" x14ac:dyDescent="0.25">
      <c r="A495" s="9" t="s">
        <v>486</v>
      </c>
      <c r="B495" s="32" t="s">
        <v>691</v>
      </c>
      <c r="C495" s="32"/>
      <c r="D495" s="32"/>
      <c r="E495" s="9">
        <v>25.8</v>
      </c>
      <c r="G495" s="1">
        <f>((Fórmulas!C$6/Fórmulas!D$6)/Fórmulas!E$6)*E495</f>
        <v>63.183673469387756</v>
      </c>
      <c r="H495" s="1">
        <f>G495*Fórmulas!B$9</f>
        <v>22114.285714285714</v>
      </c>
      <c r="I495" s="7">
        <f t="shared" si="8"/>
        <v>43</v>
      </c>
      <c r="K495" s="1">
        <v>1</v>
      </c>
      <c r="L495" s="1">
        <f>((Fórmulas!C$6/Fórmulas!D$6)/0.7)*K495</f>
        <v>2.4489795918367347</v>
      </c>
      <c r="M495" s="1">
        <f>L495*Fórmulas!D$6</f>
        <v>857.14285714285711</v>
      </c>
    </row>
    <row r="496" spans="1:13" s="9" customFormat="1" x14ac:dyDescent="0.25">
      <c r="B496" s="26"/>
      <c r="C496" s="26"/>
      <c r="D496" s="26"/>
      <c r="E496" s="9">
        <v>0</v>
      </c>
      <c r="G496" s="1">
        <f>((Fórmulas!C$6/Fórmulas!D$6)/Fórmulas!E$6)*E496</f>
        <v>0</v>
      </c>
      <c r="H496" s="1">
        <f>G496*Fórmulas!B$9</f>
        <v>0</v>
      </c>
      <c r="I496" s="7">
        <f t="shared" ref="I496:I590" si="14">E496/0.6</f>
        <v>0</v>
      </c>
      <c r="K496" s="1">
        <v>1</v>
      </c>
      <c r="L496" s="1">
        <f>((Fórmulas!C$6/Fórmulas!D$6)/0.7)*K496</f>
        <v>2.4489795918367347</v>
      </c>
      <c r="M496" s="1">
        <f>L496*Fórmulas!D$6</f>
        <v>857.14285714285711</v>
      </c>
    </row>
    <row r="497" spans="1:13" s="9" customFormat="1" x14ac:dyDescent="0.25">
      <c r="B497" s="26"/>
      <c r="C497" s="26"/>
      <c r="D497" s="26"/>
      <c r="E497" s="9">
        <v>0</v>
      </c>
      <c r="G497" s="1">
        <f>((Fórmulas!C$6/Fórmulas!D$6)/Fórmulas!E$6)*E497</f>
        <v>0</v>
      </c>
      <c r="H497" s="1">
        <f>G497*Fórmulas!B$9</f>
        <v>0</v>
      </c>
      <c r="I497" s="7">
        <f t="shared" si="14"/>
        <v>0</v>
      </c>
      <c r="K497" s="1">
        <v>1</v>
      </c>
      <c r="L497" s="1">
        <f>((Fórmulas!C$6/Fórmulas!D$6)/0.7)*K497</f>
        <v>2.4489795918367347</v>
      </c>
      <c r="M497" s="1">
        <f>L497*Fórmulas!D$6</f>
        <v>857.14285714285711</v>
      </c>
    </row>
    <row r="498" spans="1:13" s="9" customFormat="1" x14ac:dyDescent="0.25">
      <c r="B498" s="26"/>
      <c r="C498" s="26"/>
      <c r="D498" s="26"/>
      <c r="E498" s="9">
        <v>0</v>
      </c>
      <c r="G498" s="1">
        <f>((Fórmulas!C$6/Fórmulas!D$6)/Fórmulas!E$6)*E498</f>
        <v>0</v>
      </c>
      <c r="H498" s="1">
        <f>G498*Fórmulas!B$9</f>
        <v>0</v>
      </c>
      <c r="I498" s="7">
        <f t="shared" si="14"/>
        <v>0</v>
      </c>
      <c r="K498" s="1">
        <v>1</v>
      </c>
      <c r="L498" s="1">
        <f>((Fórmulas!C$6/Fórmulas!D$6)/0.7)*K498</f>
        <v>2.4489795918367347</v>
      </c>
      <c r="M498" s="1">
        <f>L498*Fórmulas!D$6</f>
        <v>857.14285714285711</v>
      </c>
    </row>
    <row r="499" spans="1:13" s="9" customFormat="1" x14ac:dyDescent="0.25">
      <c r="B499" s="26"/>
      <c r="C499" s="26"/>
      <c r="D499" s="26"/>
      <c r="E499" s="9">
        <v>0</v>
      </c>
      <c r="G499" s="1">
        <f>((Fórmulas!C$6/Fórmulas!D$6)/Fórmulas!E$6)*E499</f>
        <v>0</v>
      </c>
      <c r="H499" s="1">
        <f>G499*Fórmulas!B$9</f>
        <v>0</v>
      </c>
      <c r="I499" s="7">
        <f t="shared" si="14"/>
        <v>0</v>
      </c>
      <c r="K499" s="1">
        <v>1</v>
      </c>
      <c r="L499" s="1">
        <f>((Fórmulas!C$6/Fórmulas!D$6)/0.7)*K499</f>
        <v>2.4489795918367347</v>
      </c>
      <c r="M499" s="1">
        <f>L499*Fórmulas!D$6</f>
        <v>857.14285714285711</v>
      </c>
    </row>
    <row r="500" spans="1:13" s="9" customFormat="1" x14ac:dyDescent="0.25">
      <c r="A500" s="9" t="s">
        <v>505</v>
      </c>
      <c r="B500" s="26" t="s">
        <v>507</v>
      </c>
      <c r="C500" s="26"/>
      <c r="D500" s="26"/>
      <c r="E500" s="11">
        <v>12.3</v>
      </c>
      <c r="G500" s="1">
        <f>((Fórmulas!C$6/Fórmulas!D$6)/Fórmulas!E$6)*E500</f>
        <v>30.122448979591841</v>
      </c>
      <c r="H500" s="1">
        <f>G500*Fórmulas!B$9</f>
        <v>10542.857142857145</v>
      </c>
      <c r="I500" s="7">
        <f t="shared" si="14"/>
        <v>20.500000000000004</v>
      </c>
      <c r="K500" s="1">
        <v>1</v>
      </c>
      <c r="L500" s="1">
        <f>((Fórmulas!C$6/Fórmulas!D$6)/0.7)*K500</f>
        <v>2.4489795918367347</v>
      </c>
      <c r="M500" s="1">
        <f>L500*Fórmulas!D$6</f>
        <v>857.14285714285711</v>
      </c>
    </row>
    <row r="501" spans="1:13" s="9" customFormat="1" x14ac:dyDescent="0.25">
      <c r="A501" s="9" t="s">
        <v>505</v>
      </c>
      <c r="B501" s="26" t="s">
        <v>521</v>
      </c>
      <c r="C501" s="26"/>
      <c r="D501" s="26"/>
      <c r="E501" s="11">
        <v>18</v>
      </c>
      <c r="G501" s="1">
        <f>((Fórmulas!C$6/Fórmulas!D$6)/Fórmulas!E$6)*E501</f>
        <v>44.081632653061227</v>
      </c>
      <c r="H501" s="1">
        <f>G501*Fórmulas!B$9</f>
        <v>15428.571428571429</v>
      </c>
      <c r="I501" s="7">
        <f t="shared" si="14"/>
        <v>30</v>
      </c>
      <c r="K501" s="1">
        <v>1</v>
      </c>
      <c r="L501" s="1">
        <f>((Fórmulas!C$6/Fórmulas!D$6)/0.7)*K501</f>
        <v>2.4489795918367347</v>
      </c>
      <c r="M501" s="1">
        <f>L501*Fórmulas!D$6</f>
        <v>857.14285714285711</v>
      </c>
    </row>
    <row r="502" spans="1:13" s="9" customFormat="1" x14ac:dyDescent="0.25">
      <c r="A502" s="9" t="s">
        <v>505</v>
      </c>
      <c r="B502" s="26" t="s">
        <v>508</v>
      </c>
      <c r="C502" s="26"/>
      <c r="D502" s="26"/>
      <c r="E502" s="11">
        <v>16</v>
      </c>
      <c r="G502" s="1">
        <f>((Fórmulas!C$6/Fórmulas!D$6)/Fórmulas!E$6)*E502</f>
        <v>39.183673469387756</v>
      </c>
      <c r="H502" s="1">
        <f>G502*Fórmulas!B$9</f>
        <v>13714.285714285714</v>
      </c>
      <c r="I502" s="7">
        <f t="shared" si="14"/>
        <v>26.666666666666668</v>
      </c>
      <c r="K502" s="1">
        <v>1</v>
      </c>
      <c r="L502" s="1">
        <f>((Fórmulas!C$6/Fórmulas!D$6)/0.7)*K502</f>
        <v>2.4489795918367347</v>
      </c>
      <c r="M502" s="1">
        <f>L502*Fórmulas!D$6</f>
        <v>857.14285714285711</v>
      </c>
    </row>
    <row r="503" spans="1:13" s="9" customFormat="1" x14ac:dyDescent="0.25">
      <c r="A503" s="9" t="s">
        <v>505</v>
      </c>
      <c r="B503" s="25" t="s">
        <v>509</v>
      </c>
      <c r="C503" s="25"/>
      <c r="D503" s="25"/>
      <c r="E503" s="11">
        <v>20.7</v>
      </c>
      <c r="G503" s="1">
        <f>((Fórmulas!C$6/Fórmulas!D$6)/Fórmulas!E$6)*E503</f>
        <v>50.693877551020407</v>
      </c>
      <c r="H503" s="1">
        <f>G503*Fórmulas!B$9</f>
        <v>17742.857142857141</v>
      </c>
      <c r="I503" s="7">
        <f t="shared" si="14"/>
        <v>34.5</v>
      </c>
      <c r="K503" s="1">
        <v>1</v>
      </c>
      <c r="L503" s="1">
        <f>((Fórmulas!C$6/Fórmulas!D$6)/0.7)*K503</f>
        <v>2.4489795918367347</v>
      </c>
      <c r="M503" s="1">
        <f>L503*Fórmulas!D$6</f>
        <v>857.14285714285711</v>
      </c>
    </row>
    <row r="504" spans="1:13" s="9" customFormat="1" x14ac:dyDescent="0.25">
      <c r="A504" s="9" t="s">
        <v>505</v>
      </c>
      <c r="B504" s="25" t="s">
        <v>510</v>
      </c>
      <c r="C504" s="25"/>
      <c r="D504" s="25"/>
      <c r="E504" s="11">
        <v>20.7</v>
      </c>
      <c r="G504" s="1">
        <f>((Fórmulas!C$6/Fórmulas!D$6)/Fórmulas!E$6)*E504</f>
        <v>50.693877551020407</v>
      </c>
      <c r="H504" s="1">
        <f>G504*Fórmulas!B$9</f>
        <v>17742.857142857141</v>
      </c>
      <c r="I504" s="7">
        <f t="shared" si="14"/>
        <v>34.5</v>
      </c>
      <c r="K504" s="1">
        <v>1</v>
      </c>
      <c r="L504" s="1">
        <f>((Fórmulas!C$6/Fórmulas!D$6)/0.7)*K504</f>
        <v>2.4489795918367347</v>
      </c>
      <c r="M504" s="1">
        <f>L504*Fórmulas!D$6</f>
        <v>857.14285714285711</v>
      </c>
    </row>
    <row r="505" spans="1:13" s="9" customFormat="1" x14ac:dyDescent="0.25">
      <c r="A505" s="9" t="s">
        <v>505</v>
      </c>
      <c r="B505" s="25" t="s">
        <v>511</v>
      </c>
      <c r="C505" s="25"/>
      <c r="D505" s="25"/>
      <c r="E505" s="11">
        <v>20.7</v>
      </c>
      <c r="G505" s="1">
        <f>((Fórmulas!C$6/Fórmulas!D$6)/Fórmulas!E$6)*E505</f>
        <v>50.693877551020407</v>
      </c>
      <c r="H505" s="1">
        <f>G505*Fórmulas!B$9</f>
        <v>17742.857142857141</v>
      </c>
      <c r="I505" s="7">
        <f t="shared" si="14"/>
        <v>34.5</v>
      </c>
      <c r="K505" s="1">
        <v>1</v>
      </c>
      <c r="L505" s="1">
        <f>((Fórmulas!C$6/Fórmulas!D$6)/0.7)*K505</f>
        <v>2.4489795918367347</v>
      </c>
      <c r="M505" s="1">
        <f>L505*Fórmulas!D$6</f>
        <v>857.14285714285711</v>
      </c>
    </row>
    <row r="506" spans="1:13" s="9" customFormat="1" x14ac:dyDescent="0.25">
      <c r="A506" s="9" t="s">
        <v>505</v>
      </c>
      <c r="B506" s="25" t="s">
        <v>512</v>
      </c>
      <c r="C506" s="25"/>
      <c r="D506" s="25"/>
      <c r="E506" s="11">
        <v>20.7</v>
      </c>
      <c r="G506" s="1">
        <f>((Fórmulas!C$6/Fórmulas!D$6)/Fórmulas!E$6)*E506</f>
        <v>50.693877551020407</v>
      </c>
      <c r="H506" s="1">
        <f>G506*Fórmulas!B$9</f>
        <v>17742.857142857141</v>
      </c>
      <c r="I506" s="7">
        <f t="shared" si="14"/>
        <v>34.5</v>
      </c>
      <c r="K506" s="1">
        <v>1</v>
      </c>
      <c r="L506" s="1">
        <f>((Fórmulas!C$6/Fórmulas!D$6)/0.7)*K506</f>
        <v>2.4489795918367347</v>
      </c>
      <c r="M506" s="1">
        <f>L506*Fórmulas!D$6</f>
        <v>857.14285714285711</v>
      </c>
    </row>
    <row r="507" spans="1:13" s="9" customFormat="1" x14ac:dyDescent="0.25">
      <c r="A507" s="9" t="s">
        <v>505</v>
      </c>
      <c r="B507" s="25" t="s">
        <v>520</v>
      </c>
      <c r="C507" s="25"/>
      <c r="D507" s="25"/>
      <c r="E507" s="11">
        <v>18.3</v>
      </c>
      <c r="G507" s="1">
        <f>((Fórmulas!C$6/Fórmulas!D$6)/Fórmulas!E$6)*E507</f>
        <v>44.816326530612251</v>
      </c>
      <c r="H507" s="1">
        <f>G507*Fórmulas!B$9</f>
        <v>15685.714285714288</v>
      </c>
      <c r="I507" s="7">
        <f t="shared" si="14"/>
        <v>30.500000000000004</v>
      </c>
      <c r="K507" s="1">
        <v>1</v>
      </c>
      <c r="L507" s="1">
        <f>((Fórmulas!C$6/Fórmulas!D$6)/0.7)*K507</f>
        <v>2.4489795918367347</v>
      </c>
      <c r="M507" s="1">
        <f>L507*Fórmulas!D$6</f>
        <v>857.14285714285711</v>
      </c>
    </row>
    <row r="508" spans="1:13" s="9" customFormat="1" x14ac:dyDescent="0.25">
      <c r="A508" s="9" t="s">
        <v>505</v>
      </c>
      <c r="B508" s="25" t="s">
        <v>514</v>
      </c>
      <c r="C508" s="25"/>
      <c r="D508" s="25"/>
      <c r="E508" s="11">
        <v>11.25</v>
      </c>
      <c r="G508" s="1">
        <f>((Fórmulas!C$6/Fórmulas!D$6)/Fórmulas!E$6)*E508</f>
        <v>27.551020408163264</v>
      </c>
      <c r="H508" s="1">
        <f>G508*Fórmulas!B$9</f>
        <v>9642.8571428571431</v>
      </c>
      <c r="I508" s="7">
        <f t="shared" si="14"/>
        <v>18.75</v>
      </c>
      <c r="K508" s="1">
        <v>1</v>
      </c>
      <c r="L508" s="1">
        <f>((Fórmulas!C$6/Fórmulas!D$6)/0.7)*K508</f>
        <v>2.4489795918367347</v>
      </c>
      <c r="M508" s="1">
        <f>L508*Fórmulas!D$6</f>
        <v>857.14285714285711</v>
      </c>
    </row>
    <row r="509" spans="1:13" s="9" customFormat="1" x14ac:dyDescent="0.25">
      <c r="A509" s="9" t="s">
        <v>505</v>
      </c>
      <c r="B509" s="25" t="s">
        <v>515</v>
      </c>
      <c r="C509" s="25"/>
      <c r="D509" s="25"/>
      <c r="E509" s="11">
        <v>10.35</v>
      </c>
      <c r="G509" s="1">
        <f>((Fórmulas!C$6/Fórmulas!D$6)/Fórmulas!E$6)*E509</f>
        <v>25.346938775510203</v>
      </c>
      <c r="H509" s="1">
        <f>G509*Fórmulas!B$9</f>
        <v>8871.4285714285706</v>
      </c>
      <c r="I509" s="7">
        <f t="shared" si="14"/>
        <v>17.25</v>
      </c>
      <c r="K509" s="1">
        <v>1</v>
      </c>
      <c r="L509" s="1">
        <f>((Fórmulas!C$6/Fórmulas!D$6)/0.7)*K509</f>
        <v>2.4489795918367347</v>
      </c>
      <c r="M509" s="1">
        <f>L509*Fórmulas!D$6</f>
        <v>857.14285714285711</v>
      </c>
    </row>
    <row r="510" spans="1:13" s="9" customFormat="1" x14ac:dyDescent="0.25">
      <c r="A510" s="9" t="s">
        <v>505</v>
      </c>
      <c r="B510" s="25" t="s">
        <v>516</v>
      </c>
      <c r="C510" s="25"/>
      <c r="D510" s="25"/>
      <c r="E510" s="11">
        <v>13.1</v>
      </c>
      <c r="G510" s="1">
        <f>((Fórmulas!C$6/Fórmulas!D$6)/Fórmulas!E$6)*E510</f>
        <v>32.081632653061227</v>
      </c>
      <c r="H510" s="1">
        <f>G510*Fórmulas!B$9</f>
        <v>11228.571428571429</v>
      </c>
      <c r="I510" s="7">
        <f t="shared" si="14"/>
        <v>21.833333333333332</v>
      </c>
      <c r="K510" s="1">
        <v>1</v>
      </c>
      <c r="L510" s="1">
        <f>((Fórmulas!C$6/Fórmulas!D$6)/0.7)*K510</f>
        <v>2.4489795918367347</v>
      </c>
      <c r="M510" s="1">
        <f>L510*Fórmulas!D$6</f>
        <v>857.14285714285711</v>
      </c>
    </row>
    <row r="511" spans="1:13" s="9" customFormat="1" x14ac:dyDescent="0.25">
      <c r="A511" s="9" t="s">
        <v>505</v>
      </c>
      <c r="B511" s="25" t="s">
        <v>517</v>
      </c>
      <c r="C511" s="25"/>
      <c r="D511" s="25"/>
      <c r="E511" s="11">
        <v>16</v>
      </c>
      <c r="G511" s="1">
        <f>((Fórmulas!C$6/Fórmulas!D$6)/Fórmulas!E$6)*E511</f>
        <v>39.183673469387756</v>
      </c>
      <c r="H511" s="1">
        <f>G511*Fórmulas!B$9</f>
        <v>13714.285714285714</v>
      </c>
      <c r="I511" s="7">
        <f t="shared" si="14"/>
        <v>26.666666666666668</v>
      </c>
      <c r="K511" s="1">
        <v>1</v>
      </c>
      <c r="L511" s="1">
        <f>((Fórmulas!C$6/Fórmulas!D$6)/0.7)*K511</f>
        <v>2.4489795918367347</v>
      </c>
      <c r="M511" s="1">
        <f>L511*Fórmulas!D$6</f>
        <v>857.14285714285711</v>
      </c>
    </row>
    <row r="512" spans="1:13" s="9" customFormat="1" x14ac:dyDescent="0.25">
      <c r="A512" s="9" t="s">
        <v>505</v>
      </c>
      <c r="B512" s="25" t="s">
        <v>518</v>
      </c>
      <c r="C512" s="25"/>
      <c r="D512" s="25"/>
      <c r="E512" s="11">
        <v>12.8</v>
      </c>
      <c r="G512" s="1">
        <f>((Fórmulas!C$6/Fórmulas!D$6)/Fórmulas!E$6)*E512</f>
        <v>31.346938775510207</v>
      </c>
      <c r="H512" s="1">
        <f>G512*Fórmulas!B$9</f>
        <v>10971.428571428572</v>
      </c>
      <c r="I512" s="7">
        <f t="shared" si="14"/>
        <v>21.333333333333336</v>
      </c>
      <c r="K512" s="1">
        <v>1</v>
      </c>
      <c r="L512" s="1">
        <f>((Fórmulas!C$6/Fórmulas!D$6)/0.7)*K512</f>
        <v>2.4489795918367347</v>
      </c>
      <c r="M512" s="1">
        <f>L512*Fórmulas!D$6</f>
        <v>857.14285714285711</v>
      </c>
    </row>
    <row r="513" spans="1:13" s="9" customFormat="1" x14ac:dyDescent="0.25">
      <c r="A513" s="9" t="s">
        <v>505</v>
      </c>
      <c r="B513" s="25" t="s">
        <v>519</v>
      </c>
      <c r="C513" s="25"/>
      <c r="D513" s="25"/>
      <c r="E513" s="11">
        <v>12</v>
      </c>
      <c r="G513" s="1">
        <f>((Fórmulas!C$6/Fórmulas!D$6)/Fórmulas!E$6)*E513</f>
        <v>29.387755102040817</v>
      </c>
      <c r="H513" s="1">
        <f>G513*Fórmulas!B$9</f>
        <v>10285.714285714286</v>
      </c>
      <c r="I513" s="7">
        <f t="shared" si="14"/>
        <v>20</v>
      </c>
      <c r="K513" s="1">
        <v>1</v>
      </c>
      <c r="L513" s="1">
        <f>((Fórmulas!C$6/Fórmulas!D$6)/0.7)*K513</f>
        <v>2.4489795918367347</v>
      </c>
      <c r="M513" s="1">
        <f>L513*Fórmulas!D$6</f>
        <v>857.14285714285711</v>
      </c>
    </row>
    <row r="514" spans="1:13" s="9" customFormat="1" x14ac:dyDescent="0.25">
      <c r="B514" s="26"/>
      <c r="C514" s="26"/>
      <c r="D514" s="26"/>
      <c r="E514" s="9">
        <v>0</v>
      </c>
      <c r="G514" s="1">
        <f>((Fórmulas!C$6/Fórmulas!D$6)/Fórmulas!E$6)*E514</f>
        <v>0</v>
      </c>
      <c r="H514" s="1">
        <f>G514*Fórmulas!B$9</f>
        <v>0</v>
      </c>
      <c r="I514" s="7">
        <f t="shared" si="14"/>
        <v>0</v>
      </c>
      <c r="K514" s="1">
        <v>1</v>
      </c>
      <c r="L514" s="1">
        <f>((Fórmulas!C$6/Fórmulas!D$6)/0.7)*K514</f>
        <v>2.4489795918367347</v>
      </c>
      <c r="M514" s="1">
        <f>L514*Fórmulas!D$6</f>
        <v>857.14285714285711</v>
      </c>
    </row>
    <row r="515" spans="1:13" s="9" customFormat="1" x14ac:dyDescent="0.25">
      <c r="B515" s="26"/>
      <c r="C515" s="26"/>
      <c r="D515" s="26"/>
      <c r="E515" s="9">
        <v>0</v>
      </c>
      <c r="G515" s="1">
        <f>((Fórmulas!C$6/Fórmulas!D$6)/Fórmulas!E$6)*E515</f>
        <v>0</v>
      </c>
      <c r="H515" s="1">
        <f>G515*Fórmulas!B$9</f>
        <v>0</v>
      </c>
      <c r="I515" s="7">
        <f t="shared" si="14"/>
        <v>0</v>
      </c>
      <c r="K515" s="1">
        <v>1</v>
      </c>
      <c r="L515" s="1">
        <f>((Fórmulas!C$6/Fórmulas!D$6)/0.7)*K515</f>
        <v>2.4489795918367347</v>
      </c>
      <c r="M515" s="1">
        <f>L515*Fórmulas!D$6</f>
        <v>857.14285714285711</v>
      </c>
    </row>
    <row r="516" spans="1:13" s="9" customFormat="1" x14ac:dyDescent="0.25">
      <c r="B516" s="26"/>
      <c r="C516" s="26"/>
      <c r="D516" s="26"/>
      <c r="E516" s="9">
        <v>0</v>
      </c>
      <c r="G516" s="1">
        <f>((Fórmulas!C$6/Fórmulas!D$6)/Fórmulas!E$6)*E516</f>
        <v>0</v>
      </c>
      <c r="H516" s="1">
        <f>G516*Fórmulas!B$9</f>
        <v>0</v>
      </c>
      <c r="I516" s="7">
        <f t="shared" si="14"/>
        <v>0</v>
      </c>
      <c r="K516" s="1">
        <v>1</v>
      </c>
      <c r="L516" s="1">
        <f>((Fórmulas!C$6/Fórmulas!D$6)/0.7)*K516</f>
        <v>2.4489795918367347</v>
      </c>
      <c r="M516" s="1">
        <f>L516*Fórmulas!D$6</f>
        <v>857.14285714285711</v>
      </c>
    </row>
    <row r="517" spans="1:13" s="9" customFormat="1" x14ac:dyDescent="0.25">
      <c r="B517" s="26"/>
      <c r="C517" s="26"/>
      <c r="D517" s="26"/>
      <c r="E517" s="9">
        <v>0</v>
      </c>
      <c r="G517" s="1">
        <f>((Fórmulas!C$6/Fórmulas!D$6)/Fórmulas!E$6)*E517</f>
        <v>0</v>
      </c>
      <c r="H517" s="1">
        <f>G517*Fórmulas!B$9</f>
        <v>0</v>
      </c>
      <c r="I517" s="7">
        <f t="shared" si="14"/>
        <v>0</v>
      </c>
      <c r="K517" s="1">
        <v>1</v>
      </c>
      <c r="L517" s="1">
        <f>((Fórmulas!C$6/Fórmulas!D$6)/0.7)*K517</f>
        <v>2.4489795918367347</v>
      </c>
      <c r="M517" s="1">
        <f>L517*Fórmulas!D$6</f>
        <v>857.14285714285711</v>
      </c>
    </row>
    <row r="518" spans="1:13" s="9" customFormat="1" x14ac:dyDescent="0.25">
      <c r="B518" s="26"/>
      <c r="C518" s="26"/>
      <c r="D518" s="26"/>
      <c r="E518" s="9">
        <v>0</v>
      </c>
      <c r="G518" s="1">
        <f>((Fórmulas!C$6/Fórmulas!D$6)/Fórmulas!E$6)*E518</f>
        <v>0</v>
      </c>
      <c r="H518" s="1">
        <f>G518*Fórmulas!B$9</f>
        <v>0</v>
      </c>
      <c r="I518" s="7">
        <f t="shared" si="14"/>
        <v>0</v>
      </c>
      <c r="K518" s="1">
        <v>1</v>
      </c>
      <c r="L518" s="1">
        <f>((Fórmulas!C$6/Fórmulas!D$6)/0.7)*K518</f>
        <v>2.4489795918367347</v>
      </c>
      <c r="M518" s="1">
        <f>L518*Fórmulas!D$6</f>
        <v>857.14285714285711</v>
      </c>
    </row>
    <row r="519" spans="1:13" s="9" customFormat="1" x14ac:dyDescent="0.25">
      <c r="A519" s="9" t="s">
        <v>800</v>
      </c>
      <c r="B519" s="26" t="s">
        <v>801</v>
      </c>
      <c r="C519" s="26"/>
      <c r="D519" s="26"/>
      <c r="E519" s="9">
        <v>7</v>
      </c>
      <c r="G519" s="1">
        <f>((Fórmulas!C$6/Fórmulas!D$6)/Fórmulas!E$6)*E519</f>
        <v>17.142857142857142</v>
      </c>
      <c r="H519" s="1">
        <f>G519*Fórmulas!B$9</f>
        <v>6000</v>
      </c>
      <c r="I519" s="7">
        <f t="shared" si="14"/>
        <v>11.666666666666668</v>
      </c>
      <c r="K519" s="1">
        <v>1</v>
      </c>
      <c r="L519" s="1">
        <f>((Fórmulas!C$6/Fórmulas!D$6)/0.7)*K519</f>
        <v>2.4489795918367347</v>
      </c>
      <c r="M519" s="1">
        <f>L519*Fórmulas!D$6</f>
        <v>857.14285714285711</v>
      </c>
    </row>
    <row r="520" spans="1:13" s="9" customFormat="1" x14ac:dyDescent="0.25">
      <c r="B520" s="26"/>
      <c r="C520" s="26"/>
      <c r="D520" s="26"/>
      <c r="E520" s="9">
        <v>0</v>
      </c>
      <c r="G520" s="1">
        <f>((Fórmulas!C$6/Fórmulas!D$6)/Fórmulas!E$6)*E520</f>
        <v>0</v>
      </c>
      <c r="H520" s="1">
        <f>G520*Fórmulas!B$9</f>
        <v>0</v>
      </c>
      <c r="I520" s="7">
        <f t="shared" si="14"/>
        <v>0</v>
      </c>
      <c r="K520" s="1">
        <v>1</v>
      </c>
      <c r="L520" s="1">
        <f>((Fórmulas!C$6/Fórmulas!D$6)/0.7)*K520</f>
        <v>2.4489795918367347</v>
      </c>
      <c r="M520" s="1">
        <f>L520*Fórmulas!D$6</f>
        <v>857.14285714285711</v>
      </c>
    </row>
    <row r="521" spans="1:13" s="9" customFormat="1" x14ac:dyDescent="0.25">
      <c r="B521" s="26"/>
      <c r="C521" s="26"/>
      <c r="D521" s="26"/>
      <c r="E521" s="9">
        <v>0</v>
      </c>
      <c r="G521" s="1">
        <f>((Fórmulas!C$6/Fórmulas!D$6)/Fórmulas!E$6)*E521</f>
        <v>0</v>
      </c>
      <c r="H521" s="1">
        <f>G521*Fórmulas!B$9</f>
        <v>0</v>
      </c>
      <c r="I521" s="7">
        <f t="shared" si="14"/>
        <v>0</v>
      </c>
      <c r="K521" s="1">
        <v>1</v>
      </c>
      <c r="L521" s="1">
        <f>((Fórmulas!C$6/Fórmulas!D$6)/0.7)*K521</f>
        <v>2.4489795918367347</v>
      </c>
      <c r="M521" s="1">
        <f>L521*Fórmulas!D$6</f>
        <v>857.14285714285711</v>
      </c>
    </row>
    <row r="522" spans="1:13" s="22" customFormat="1" x14ac:dyDescent="0.25">
      <c r="B522" s="26"/>
      <c r="C522" s="26"/>
      <c r="D522" s="26"/>
      <c r="E522" s="22">
        <v>0</v>
      </c>
      <c r="G522" s="1">
        <f>((Fórmulas!C$6/Fórmulas!D$6)/Fórmulas!E$6)*E522</f>
        <v>0</v>
      </c>
      <c r="H522" s="1">
        <f>G522*Fórmulas!B$9</f>
        <v>0</v>
      </c>
      <c r="I522" s="7">
        <f t="shared" ref="I522:I528" si="15">E522/0.6</f>
        <v>0</v>
      </c>
      <c r="K522" s="1">
        <v>1</v>
      </c>
      <c r="L522" s="1">
        <f>((Fórmulas!C$6/Fórmulas!D$6)/0.7)*K522</f>
        <v>2.4489795918367347</v>
      </c>
      <c r="M522" s="1">
        <f>L522*Fórmulas!D$6</f>
        <v>857.14285714285711</v>
      </c>
    </row>
    <row r="523" spans="1:13" s="22" customFormat="1" x14ac:dyDescent="0.25">
      <c r="B523" s="26"/>
      <c r="C523" s="26"/>
      <c r="D523" s="26"/>
      <c r="E523" s="22">
        <v>0</v>
      </c>
      <c r="G523" s="1">
        <f>((Fórmulas!C$6/Fórmulas!D$6)/Fórmulas!E$6)*E523</f>
        <v>0</v>
      </c>
      <c r="H523" s="1">
        <f>G523*Fórmulas!B$9</f>
        <v>0</v>
      </c>
      <c r="I523" s="7">
        <f t="shared" si="15"/>
        <v>0</v>
      </c>
      <c r="K523" s="1">
        <v>1</v>
      </c>
      <c r="L523" s="1">
        <f>((Fórmulas!C$6/Fórmulas!D$6)/0.7)*K523</f>
        <v>2.4489795918367347</v>
      </c>
      <c r="M523" s="1">
        <f>L523*Fórmulas!D$6</f>
        <v>857.14285714285711</v>
      </c>
    </row>
    <row r="524" spans="1:13" s="22" customFormat="1" x14ac:dyDescent="0.25">
      <c r="B524" s="26"/>
      <c r="C524" s="26"/>
      <c r="D524" s="26"/>
      <c r="E524" s="22">
        <v>0</v>
      </c>
      <c r="G524" s="1">
        <f>((Fórmulas!C$6/Fórmulas!D$6)/Fórmulas!E$6)*E524</f>
        <v>0</v>
      </c>
      <c r="H524" s="1">
        <f>G524*Fórmulas!B$9</f>
        <v>0</v>
      </c>
      <c r="I524" s="7">
        <f t="shared" si="15"/>
        <v>0</v>
      </c>
      <c r="K524" s="1">
        <v>1</v>
      </c>
      <c r="L524" s="1">
        <f>((Fórmulas!C$6/Fórmulas!D$6)/0.7)*K524</f>
        <v>2.4489795918367347</v>
      </c>
      <c r="M524" s="1">
        <f>L524*Fórmulas!D$6</f>
        <v>857.14285714285711</v>
      </c>
    </row>
    <row r="525" spans="1:13" s="22" customFormat="1" x14ac:dyDescent="0.25">
      <c r="A525" s="22" t="s">
        <v>805</v>
      </c>
      <c r="B525" s="26" t="s">
        <v>806</v>
      </c>
      <c r="C525" s="26"/>
      <c r="D525" s="26"/>
      <c r="E525" s="22">
        <v>6</v>
      </c>
      <c r="G525" s="1">
        <f>((Fórmulas!C$6/Fórmulas!D$6)/Fórmulas!E$6)*E525</f>
        <v>14.693877551020408</v>
      </c>
      <c r="H525" s="1">
        <f>G525*Fórmulas!B$9</f>
        <v>5142.8571428571431</v>
      </c>
      <c r="I525" s="7">
        <f t="shared" si="15"/>
        <v>10</v>
      </c>
      <c r="K525" s="1">
        <v>1</v>
      </c>
      <c r="L525" s="1">
        <f>((Fórmulas!C$6/Fórmulas!D$6)/0.7)*K525</f>
        <v>2.4489795918367347</v>
      </c>
      <c r="M525" s="1">
        <f>L525*Fórmulas!D$6</f>
        <v>857.14285714285711</v>
      </c>
    </row>
    <row r="526" spans="1:13" s="22" customFormat="1" x14ac:dyDescent="0.25">
      <c r="B526" s="26"/>
      <c r="C526" s="26"/>
      <c r="D526" s="26"/>
      <c r="E526" s="22">
        <v>0</v>
      </c>
      <c r="G526" s="1">
        <f>((Fórmulas!C$6/Fórmulas!D$6)/Fórmulas!E$6)*E526</f>
        <v>0</v>
      </c>
      <c r="H526" s="1">
        <f>G526*Fórmulas!B$9</f>
        <v>0</v>
      </c>
      <c r="I526" s="7">
        <f t="shared" si="15"/>
        <v>0</v>
      </c>
      <c r="K526" s="1">
        <v>1</v>
      </c>
      <c r="L526" s="1">
        <f>((Fórmulas!C$6/Fórmulas!D$6)/0.7)*K526</f>
        <v>2.4489795918367347</v>
      </c>
      <c r="M526" s="1">
        <f>L526*Fórmulas!D$6</f>
        <v>857.14285714285711</v>
      </c>
    </row>
    <row r="527" spans="1:13" s="22" customFormat="1" x14ac:dyDescent="0.25">
      <c r="B527" s="26"/>
      <c r="C527" s="26"/>
      <c r="D527" s="26"/>
      <c r="E527" s="22">
        <v>0</v>
      </c>
      <c r="G527" s="1">
        <f>((Fórmulas!C$6/Fórmulas!D$6)/Fórmulas!E$6)*E527</f>
        <v>0</v>
      </c>
      <c r="H527" s="1">
        <f>G527*Fórmulas!B$9</f>
        <v>0</v>
      </c>
      <c r="I527" s="7">
        <f t="shared" si="15"/>
        <v>0</v>
      </c>
      <c r="K527" s="1">
        <v>1</v>
      </c>
      <c r="L527" s="1">
        <f>((Fórmulas!C$6/Fórmulas!D$6)/0.7)*K527</f>
        <v>2.4489795918367347</v>
      </c>
      <c r="M527" s="1">
        <f>L527*Fórmulas!D$6</f>
        <v>857.14285714285711</v>
      </c>
    </row>
    <row r="528" spans="1:13" s="22" customFormat="1" x14ac:dyDescent="0.25">
      <c r="B528" s="26"/>
      <c r="C528" s="26"/>
      <c r="D528" s="26"/>
      <c r="E528" s="22">
        <v>0</v>
      </c>
      <c r="G528" s="1">
        <f>((Fórmulas!C$6/Fórmulas!D$6)/Fórmulas!E$6)*E528</f>
        <v>0</v>
      </c>
      <c r="H528" s="1">
        <f>G528*Fórmulas!B$9</f>
        <v>0</v>
      </c>
      <c r="I528" s="7">
        <f t="shared" si="15"/>
        <v>0</v>
      </c>
      <c r="K528" s="1">
        <v>1</v>
      </c>
      <c r="L528" s="1">
        <f>((Fórmulas!C$6/Fórmulas!D$6)/0.7)*K528</f>
        <v>2.4489795918367347</v>
      </c>
      <c r="M528" s="1">
        <f>L528*Fórmulas!D$6</f>
        <v>857.14285714285711</v>
      </c>
    </row>
    <row r="529" spans="1:13" s="9" customFormat="1" x14ac:dyDescent="0.25">
      <c r="B529" s="26"/>
      <c r="C529" s="26"/>
      <c r="D529" s="26"/>
      <c r="E529" s="9">
        <v>0</v>
      </c>
      <c r="G529" s="1">
        <f>((Fórmulas!C$6/Fórmulas!D$6)/Fórmulas!E$6)*E529</f>
        <v>0</v>
      </c>
      <c r="H529" s="1">
        <f>G529*Fórmulas!B$9</f>
        <v>0</v>
      </c>
      <c r="I529" s="7">
        <f t="shared" si="14"/>
        <v>0</v>
      </c>
      <c r="K529" s="1">
        <v>1</v>
      </c>
      <c r="L529" s="1">
        <f>((Fórmulas!C$6/Fórmulas!D$6)/0.7)*K529</f>
        <v>2.4489795918367347</v>
      </c>
      <c r="M529" s="1">
        <f>L529*Fórmulas!D$6</f>
        <v>857.14285714285711</v>
      </c>
    </row>
    <row r="530" spans="1:13" s="9" customFormat="1" x14ac:dyDescent="0.25">
      <c r="B530" s="26"/>
      <c r="C530" s="26"/>
      <c r="D530" s="26"/>
      <c r="E530" s="9">
        <v>0</v>
      </c>
      <c r="G530" s="1">
        <f>((Fórmulas!C$6/Fórmulas!D$6)/Fórmulas!E$6)*E530</f>
        <v>0</v>
      </c>
      <c r="H530" s="1">
        <f>G530*Fórmulas!B$9</f>
        <v>0</v>
      </c>
      <c r="I530" s="7">
        <f t="shared" si="14"/>
        <v>0</v>
      </c>
      <c r="K530" s="1">
        <v>1</v>
      </c>
      <c r="L530" s="1">
        <f>((Fórmulas!C$6/Fórmulas!D$6)/0.7)*K530</f>
        <v>2.4489795918367347</v>
      </c>
      <c r="M530" s="1">
        <f>L530*Fórmulas!D$6</f>
        <v>857.14285714285711</v>
      </c>
    </row>
    <row r="531" spans="1:13" s="9" customFormat="1" x14ac:dyDescent="0.25">
      <c r="B531" s="26"/>
      <c r="C531" s="26"/>
      <c r="D531" s="26"/>
      <c r="E531" s="9">
        <v>0</v>
      </c>
      <c r="G531" s="1">
        <f>((Fórmulas!C$6/Fórmulas!D$6)/Fórmulas!E$6)*E531</f>
        <v>0</v>
      </c>
      <c r="H531" s="1">
        <f>G531*Fórmulas!B$9</f>
        <v>0</v>
      </c>
      <c r="I531" s="7">
        <f t="shared" si="14"/>
        <v>0</v>
      </c>
      <c r="K531" s="1">
        <v>1</v>
      </c>
      <c r="L531" s="1">
        <f>((Fórmulas!C$6/Fórmulas!D$6)/0.7)*K531</f>
        <v>2.4489795918367347</v>
      </c>
      <c r="M531" s="1">
        <f>L531*Fórmulas!D$6</f>
        <v>857.14285714285711</v>
      </c>
    </row>
    <row r="532" spans="1:13" s="9" customFormat="1" x14ac:dyDescent="0.25">
      <c r="A532" s="9" t="s">
        <v>802</v>
      </c>
      <c r="B532" s="26" t="s">
        <v>778</v>
      </c>
      <c r="C532" s="26"/>
      <c r="D532" s="26"/>
      <c r="E532" s="9">
        <v>11</v>
      </c>
      <c r="G532" s="1">
        <f>((Fórmulas!C$6/Fórmulas!D$6)/Fórmulas!E$6)*E532</f>
        <v>26.938775510204081</v>
      </c>
      <c r="H532" s="1">
        <f>G532*Fórmulas!B$9</f>
        <v>9428.5714285714294</v>
      </c>
      <c r="I532" s="7">
        <f t="shared" si="14"/>
        <v>18.333333333333336</v>
      </c>
      <c r="K532" s="1">
        <v>1</v>
      </c>
      <c r="L532" s="1">
        <f>((Fórmulas!C$6/Fórmulas!D$6)/0.7)*K532</f>
        <v>2.4489795918367347</v>
      </c>
      <c r="M532" s="1">
        <f>L532*Fórmulas!D$6</f>
        <v>857.14285714285711</v>
      </c>
    </row>
    <row r="533" spans="1:13" s="9" customFormat="1" x14ac:dyDescent="0.25">
      <c r="A533" s="9" t="s">
        <v>802</v>
      </c>
      <c r="B533" s="26" t="s">
        <v>817</v>
      </c>
      <c r="C533" s="26"/>
      <c r="D533" s="26"/>
      <c r="E533" s="9">
        <v>15</v>
      </c>
      <c r="G533" s="1">
        <f>((Fórmulas!C$6/Fórmulas!D$6)/Fórmulas!E$6)*E533</f>
        <v>36.734693877551024</v>
      </c>
      <c r="H533" s="1">
        <f>G533*Fórmulas!B$9</f>
        <v>12857.142857142859</v>
      </c>
      <c r="I533" s="7">
        <f t="shared" si="14"/>
        <v>25</v>
      </c>
      <c r="K533" s="1">
        <v>1</v>
      </c>
      <c r="L533" s="1">
        <f>((Fórmulas!C$6/Fórmulas!D$6)/0.7)*K533</f>
        <v>2.4489795918367347</v>
      </c>
      <c r="M533" s="1">
        <f>L533*Fórmulas!D$6</f>
        <v>857.14285714285711</v>
      </c>
    </row>
    <row r="534" spans="1:13" s="9" customFormat="1" x14ac:dyDescent="0.25">
      <c r="B534" s="26"/>
      <c r="C534" s="26"/>
      <c r="D534" s="26"/>
      <c r="E534" s="9">
        <v>0</v>
      </c>
      <c r="G534" s="1">
        <f>((Fórmulas!C$6/Fórmulas!D$6)/Fórmulas!E$6)*E534</f>
        <v>0</v>
      </c>
      <c r="H534" s="1">
        <f>G534*Fórmulas!B$9</f>
        <v>0</v>
      </c>
      <c r="I534" s="7">
        <f t="shared" si="14"/>
        <v>0</v>
      </c>
      <c r="K534" s="1">
        <v>1</v>
      </c>
      <c r="L534" s="1">
        <f>((Fórmulas!C$6/Fórmulas!D$6)/0.7)*K534</f>
        <v>2.4489795918367347</v>
      </c>
      <c r="M534" s="1">
        <f>L534*Fórmulas!D$6</f>
        <v>857.14285714285711</v>
      </c>
    </row>
    <row r="535" spans="1:13" x14ac:dyDescent="0.25">
      <c r="A535" s="9"/>
      <c r="B535" s="26"/>
      <c r="C535" s="26"/>
      <c r="D535" s="26"/>
      <c r="E535" s="4">
        <v>0</v>
      </c>
      <c r="G535" s="1">
        <f>((Fórmulas!C$6/Fórmulas!D$6)/Fórmulas!E$6)*E535</f>
        <v>0</v>
      </c>
      <c r="H535" s="1">
        <f>G535*Fórmulas!B$9</f>
        <v>0</v>
      </c>
      <c r="I535" s="7">
        <f t="shared" si="14"/>
        <v>0</v>
      </c>
      <c r="J535" s="4"/>
      <c r="K535" s="1"/>
      <c r="L535" s="1"/>
      <c r="M535" s="1"/>
    </row>
    <row r="536" spans="1:13" x14ac:dyDescent="0.25">
      <c r="A536" s="9"/>
      <c r="B536" s="26"/>
      <c r="C536" s="26"/>
      <c r="D536" s="26"/>
      <c r="E536" s="4">
        <v>0</v>
      </c>
      <c r="G536" s="1">
        <f>((Fórmulas!C$6/Fórmulas!D$6)/Fórmulas!E$6)*E536</f>
        <v>0</v>
      </c>
      <c r="H536" s="1">
        <f>G536*Fórmulas!B$9</f>
        <v>0</v>
      </c>
      <c r="I536" s="7">
        <f t="shared" si="14"/>
        <v>0</v>
      </c>
      <c r="J536" s="4"/>
      <c r="K536" s="1">
        <v>1</v>
      </c>
      <c r="L536" s="1">
        <f>((Fórmulas!C$6/Fórmulas!D$6)/0.7)*K536</f>
        <v>2.4489795918367347</v>
      </c>
      <c r="M536" s="1">
        <f>L536*Fórmulas!D$6</f>
        <v>857.14285714285711</v>
      </c>
    </row>
    <row r="537" spans="1:13" s="22" customFormat="1" x14ac:dyDescent="0.25">
      <c r="B537" s="26"/>
      <c r="C537" s="26"/>
      <c r="D537" s="26"/>
      <c r="E537" s="22">
        <v>0</v>
      </c>
      <c r="G537" s="1">
        <f>((Fórmulas!C$6/Fórmulas!D$6)/Fórmulas!E$6)*E537</f>
        <v>0</v>
      </c>
      <c r="H537" s="1">
        <f>G537*Fórmulas!B$9</f>
        <v>0</v>
      </c>
      <c r="I537" s="7">
        <f t="shared" ref="I537:I551" si="16">E537/0.6</f>
        <v>0</v>
      </c>
      <c r="K537" s="1">
        <v>1</v>
      </c>
      <c r="L537" s="1">
        <f>((Fórmulas!C$6/Fórmulas!D$6)/0.7)*K537</f>
        <v>2.4489795918367347</v>
      </c>
      <c r="M537" s="1">
        <f>L537*Fórmulas!D$6</f>
        <v>857.14285714285711</v>
      </c>
    </row>
    <row r="538" spans="1:13" s="22" customFormat="1" x14ac:dyDescent="0.25">
      <c r="B538" s="26"/>
      <c r="C538" s="26"/>
      <c r="D538" s="26"/>
      <c r="E538" s="22">
        <v>0</v>
      </c>
      <c r="G538" s="1">
        <f>((Fórmulas!C$6/Fórmulas!D$6)/Fórmulas!E$6)*E538</f>
        <v>0</v>
      </c>
      <c r="H538" s="1">
        <f>G538*Fórmulas!B$9</f>
        <v>0</v>
      </c>
      <c r="I538" s="7">
        <f t="shared" si="16"/>
        <v>0</v>
      </c>
      <c r="K538" s="1">
        <v>1</v>
      </c>
      <c r="L538" s="1">
        <f>((Fórmulas!C$6/Fórmulas!D$6)/0.7)*K538</f>
        <v>2.4489795918367347</v>
      </c>
      <c r="M538" s="1">
        <f>L538*Fórmulas!D$6</f>
        <v>857.14285714285711</v>
      </c>
    </row>
    <row r="539" spans="1:13" s="22" customFormat="1" x14ac:dyDescent="0.25">
      <c r="B539" s="26"/>
      <c r="C539" s="26"/>
      <c r="D539" s="26"/>
      <c r="E539" s="22">
        <v>0</v>
      </c>
      <c r="G539" s="1">
        <f>((Fórmulas!C$6/Fórmulas!D$6)/Fórmulas!E$6)*E539</f>
        <v>0</v>
      </c>
      <c r="H539" s="1">
        <f>G539*Fórmulas!B$9</f>
        <v>0</v>
      </c>
      <c r="I539" s="7">
        <f t="shared" si="16"/>
        <v>0</v>
      </c>
      <c r="K539" s="1">
        <v>1</v>
      </c>
      <c r="L539" s="1">
        <f>((Fórmulas!C$6/Fórmulas!D$6)/0.7)*K539</f>
        <v>2.4489795918367347</v>
      </c>
      <c r="M539" s="1">
        <f>L539*Fórmulas!D$6</f>
        <v>857.14285714285711</v>
      </c>
    </row>
    <row r="540" spans="1:13" s="22" customFormat="1" x14ac:dyDescent="0.25">
      <c r="B540" s="26"/>
      <c r="C540" s="26"/>
      <c r="D540" s="26"/>
      <c r="E540" s="22">
        <v>0</v>
      </c>
      <c r="G540" s="1">
        <f>((Fórmulas!C$6/Fórmulas!D$6)/Fórmulas!E$6)*E540</f>
        <v>0</v>
      </c>
      <c r="H540" s="1">
        <f>G540*Fórmulas!B$9</f>
        <v>0</v>
      </c>
      <c r="I540" s="7">
        <f t="shared" si="16"/>
        <v>0</v>
      </c>
      <c r="K540" s="1">
        <v>1</v>
      </c>
      <c r="L540" s="1">
        <f>((Fórmulas!C$6/Fórmulas!D$6)/0.7)*K540</f>
        <v>2.4489795918367347</v>
      </c>
      <c r="M540" s="1">
        <f>L540*Fórmulas!D$6</f>
        <v>857.14285714285711</v>
      </c>
    </row>
    <row r="541" spans="1:13" s="22" customFormat="1" x14ac:dyDescent="0.25">
      <c r="B541" s="26"/>
      <c r="C541" s="26"/>
      <c r="D541" s="26"/>
      <c r="E541" s="22">
        <v>0</v>
      </c>
      <c r="G541" s="1">
        <f>((Fórmulas!C$6/Fórmulas!D$6)/Fórmulas!E$6)*E541</f>
        <v>0</v>
      </c>
      <c r="H541" s="1">
        <f>G541*Fórmulas!B$9</f>
        <v>0</v>
      </c>
      <c r="I541" s="7">
        <f t="shared" si="16"/>
        <v>0</v>
      </c>
      <c r="K541" s="1">
        <v>1</v>
      </c>
      <c r="L541" s="1">
        <f>((Fórmulas!C$6/Fórmulas!D$6)/0.7)*K541</f>
        <v>2.4489795918367347</v>
      </c>
      <c r="M541" s="1">
        <f>L541*Fórmulas!D$6</f>
        <v>857.14285714285711</v>
      </c>
    </row>
    <row r="542" spans="1:13" s="22" customFormat="1" x14ac:dyDescent="0.25">
      <c r="B542" s="26"/>
      <c r="C542" s="26"/>
      <c r="D542" s="26"/>
      <c r="E542" s="22">
        <v>0</v>
      </c>
      <c r="G542" s="1">
        <f>((Fórmulas!C$6/Fórmulas!D$6)/Fórmulas!E$6)*E542</f>
        <v>0</v>
      </c>
      <c r="H542" s="1">
        <f>G542*Fórmulas!B$9</f>
        <v>0</v>
      </c>
      <c r="I542" s="7">
        <f t="shared" si="16"/>
        <v>0</v>
      </c>
      <c r="K542" s="1">
        <v>1</v>
      </c>
      <c r="L542" s="1">
        <f>((Fórmulas!C$6/Fórmulas!D$6)/0.7)*K542</f>
        <v>2.4489795918367347</v>
      </c>
      <c r="M542" s="1">
        <f>L542*Fórmulas!D$6</f>
        <v>857.14285714285711</v>
      </c>
    </row>
    <row r="543" spans="1:13" s="22" customFormat="1" x14ac:dyDescent="0.25">
      <c r="B543" s="26"/>
      <c r="C543" s="26"/>
      <c r="D543" s="26"/>
      <c r="E543" s="22">
        <v>0</v>
      </c>
      <c r="G543" s="1">
        <f>((Fórmulas!C$6/Fórmulas!D$6)/Fórmulas!E$6)*E543</f>
        <v>0</v>
      </c>
      <c r="H543" s="1">
        <f>G543*Fórmulas!B$9</f>
        <v>0</v>
      </c>
      <c r="I543" s="7">
        <f t="shared" si="16"/>
        <v>0</v>
      </c>
      <c r="K543" s="1">
        <v>1</v>
      </c>
      <c r="L543" s="1">
        <f>((Fórmulas!C$6/Fórmulas!D$6)/0.7)*K543</f>
        <v>2.4489795918367347</v>
      </c>
      <c r="M543" s="1">
        <f>L543*Fórmulas!D$6</f>
        <v>857.14285714285711</v>
      </c>
    </row>
    <row r="544" spans="1:13" s="22" customFormat="1" x14ac:dyDescent="0.25">
      <c r="B544" s="26"/>
      <c r="C544" s="26"/>
      <c r="D544" s="26"/>
      <c r="E544" s="22">
        <v>0</v>
      </c>
      <c r="G544" s="1">
        <f>((Fórmulas!C$6/Fórmulas!D$6)/Fórmulas!E$6)*E544</f>
        <v>0</v>
      </c>
      <c r="H544" s="1">
        <f>G544*Fórmulas!B$9</f>
        <v>0</v>
      </c>
      <c r="I544" s="7">
        <f t="shared" si="16"/>
        <v>0</v>
      </c>
      <c r="K544" s="1">
        <v>1</v>
      </c>
      <c r="L544" s="1">
        <f>((Fórmulas!C$6/Fórmulas!D$6)/0.7)*K544</f>
        <v>2.4489795918367347</v>
      </c>
      <c r="M544" s="1">
        <f>L544*Fórmulas!D$6</f>
        <v>857.14285714285711</v>
      </c>
    </row>
    <row r="545" spans="2:13" s="22" customFormat="1" x14ac:dyDescent="0.25">
      <c r="B545" s="26"/>
      <c r="C545" s="26"/>
      <c r="D545" s="26"/>
      <c r="E545" s="22">
        <v>0</v>
      </c>
      <c r="G545" s="1">
        <f>((Fórmulas!C$6/Fórmulas!D$6)/Fórmulas!E$6)*E545</f>
        <v>0</v>
      </c>
      <c r="H545" s="1">
        <f>G545*Fórmulas!B$9</f>
        <v>0</v>
      </c>
      <c r="I545" s="7">
        <f t="shared" si="16"/>
        <v>0</v>
      </c>
      <c r="K545" s="1">
        <v>1</v>
      </c>
      <c r="L545" s="1">
        <f>((Fórmulas!C$6/Fórmulas!D$6)/0.7)*K545</f>
        <v>2.4489795918367347</v>
      </c>
      <c r="M545" s="1">
        <f>L545*Fórmulas!D$6</f>
        <v>857.14285714285711</v>
      </c>
    </row>
    <row r="546" spans="2:13" s="22" customFormat="1" x14ac:dyDescent="0.25">
      <c r="B546" s="26"/>
      <c r="C546" s="26"/>
      <c r="D546" s="26"/>
      <c r="E546" s="22">
        <v>0</v>
      </c>
      <c r="G546" s="1">
        <f>((Fórmulas!C$6/Fórmulas!D$6)/Fórmulas!E$6)*E546</f>
        <v>0</v>
      </c>
      <c r="H546" s="1">
        <f>G546*Fórmulas!B$9</f>
        <v>0</v>
      </c>
      <c r="I546" s="7">
        <f t="shared" si="16"/>
        <v>0</v>
      </c>
      <c r="K546" s="1">
        <v>1</v>
      </c>
      <c r="L546" s="1">
        <f>((Fórmulas!C$6/Fórmulas!D$6)/0.7)*K546</f>
        <v>2.4489795918367347</v>
      </c>
      <c r="M546" s="1">
        <f>L546*Fórmulas!D$6</f>
        <v>857.14285714285711</v>
      </c>
    </row>
    <row r="547" spans="2:13" s="22" customFormat="1" x14ac:dyDescent="0.25">
      <c r="B547" s="26"/>
      <c r="C547" s="26"/>
      <c r="D547" s="26"/>
      <c r="E547" s="22">
        <v>0</v>
      </c>
      <c r="G547" s="1">
        <f>((Fórmulas!C$6/Fórmulas!D$6)/Fórmulas!E$6)*E547</f>
        <v>0</v>
      </c>
      <c r="H547" s="1">
        <f>G547*Fórmulas!B$9</f>
        <v>0</v>
      </c>
      <c r="I547" s="7">
        <f t="shared" si="16"/>
        <v>0</v>
      </c>
      <c r="K547" s="1">
        <v>1</v>
      </c>
      <c r="L547" s="1">
        <f>((Fórmulas!C$6/Fórmulas!D$6)/0.7)*K547</f>
        <v>2.4489795918367347</v>
      </c>
      <c r="M547" s="1">
        <f>L547*Fórmulas!D$6</f>
        <v>857.14285714285711</v>
      </c>
    </row>
    <row r="548" spans="2:13" s="22" customFormat="1" x14ac:dyDescent="0.25">
      <c r="B548" s="26"/>
      <c r="C548" s="26"/>
      <c r="D548" s="26"/>
      <c r="E548" s="22">
        <v>0</v>
      </c>
      <c r="G548" s="1">
        <f>((Fórmulas!C$6/Fórmulas!D$6)/Fórmulas!E$6)*E548</f>
        <v>0</v>
      </c>
      <c r="H548" s="1">
        <f>G548*Fórmulas!B$9</f>
        <v>0</v>
      </c>
      <c r="I548" s="7">
        <f t="shared" si="16"/>
        <v>0</v>
      </c>
      <c r="K548" s="1">
        <v>1</v>
      </c>
      <c r="L548" s="1">
        <f>((Fórmulas!C$6/Fórmulas!D$6)/0.7)*K548</f>
        <v>2.4489795918367347</v>
      </c>
      <c r="M548" s="1">
        <f>L548*Fórmulas!D$6</f>
        <v>857.14285714285711</v>
      </c>
    </row>
    <row r="549" spans="2:13" s="22" customFormat="1" x14ac:dyDescent="0.25">
      <c r="B549" s="26"/>
      <c r="C549" s="26"/>
      <c r="D549" s="26"/>
      <c r="E549" s="22">
        <v>0</v>
      </c>
      <c r="G549" s="1">
        <f>((Fórmulas!C$6/Fórmulas!D$6)/Fórmulas!E$6)*E549</f>
        <v>0</v>
      </c>
      <c r="H549" s="1">
        <f>G549*Fórmulas!B$9</f>
        <v>0</v>
      </c>
      <c r="I549" s="7">
        <f t="shared" si="16"/>
        <v>0</v>
      </c>
      <c r="K549" s="1">
        <v>1</v>
      </c>
      <c r="L549" s="1">
        <f>((Fórmulas!C$6/Fórmulas!D$6)/0.7)*K549</f>
        <v>2.4489795918367347</v>
      </c>
      <c r="M549" s="1">
        <f>L549*Fórmulas!D$6</f>
        <v>857.14285714285711</v>
      </c>
    </row>
    <row r="550" spans="2:13" s="22" customFormat="1" x14ac:dyDescent="0.25">
      <c r="B550" s="26"/>
      <c r="C550" s="26"/>
      <c r="D550" s="26"/>
      <c r="E550" s="22">
        <v>0</v>
      </c>
      <c r="G550" s="1">
        <f>((Fórmulas!C$6/Fórmulas!D$6)/Fórmulas!E$6)*E550</f>
        <v>0</v>
      </c>
      <c r="H550" s="1">
        <f>G550*Fórmulas!B$9</f>
        <v>0</v>
      </c>
      <c r="I550" s="7">
        <f t="shared" si="16"/>
        <v>0</v>
      </c>
      <c r="K550" s="1">
        <v>1</v>
      </c>
      <c r="L550" s="1">
        <f>((Fórmulas!C$6/Fórmulas!D$6)/0.7)*K550</f>
        <v>2.4489795918367347</v>
      </c>
      <c r="M550" s="1">
        <f>L550*Fórmulas!D$6</f>
        <v>857.14285714285711</v>
      </c>
    </row>
    <row r="551" spans="2:13" s="22" customFormat="1" x14ac:dyDescent="0.25">
      <c r="B551" s="26"/>
      <c r="C551" s="26"/>
      <c r="D551" s="26"/>
      <c r="E551" s="22">
        <v>0</v>
      </c>
      <c r="G551" s="1">
        <f>((Fórmulas!C$6/Fórmulas!D$6)/Fórmulas!E$6)*E551</f>
        <v>0</v>
      </c>
      <c r="H551" s="1">
        <f>G551*Fórmulas!B$9</f>
        <v>0</v>
      </c>
      <c r="I551" s="7">
        <f t="shared" si="16"/>
        <v>0</v>
      </c>
      <c r="K551" s="1">
        <v>1</v>
      </c>
      <c r="L551" s="1">
        <f>((Fórmulas!C$6/Fórmulas!D$6)/0.7)*K551</f>
        <v>2.4489795918367347</v>
      </c>
      <c r="M551" s="1">
        <f>L551*Fórmulas!D$6</f>
        <v>857.14285714285711</v>
      </c>
    </row>
    <row r="552" spans="2:13" s="22" customFormat="1" x14ac:dyDescent="0.25">
      <c r="B552" s="26"/>
      <c r="C552" s="26"/>
      <c r="D552" s="26"/>
      <c r="E552" s="22">
        <v>0</v>
      </c>
      <c r="G552" s="1">
        <f>((Fórmulas!C$6/Fórmulas!D$6)/Fórmulas!E$6)*E552</f>
        <v>0</v>
      </c>
      <c r="H552" s="1">
        <f>G552*Fórmulas!B$9</f>
        <v>0</v>
      </c>
      <c r="I552" s="7">
        <f t="shared" ref="I552:I560" si="17">E552/0.6</f>
        <v>0</v>
      </c>
      <c r="K552" s="1">
        <v>1</v>
      </c>
      <c r="L552" s="1">
        <f>((Fórmulas!C$6/Fórmulas!D$6)/0.7)*K552</f>
        <v>2.4489795918367347</v>
      </c>
      <c r="M552" s="1">
        <f>L552*Fórmulas!D$6</f>
        <v>857.14285714285711</v>
      </c>
    </row>
    <row r="553" spans="2:13" s="22" customFormat="1" x14ac:dyDescent="0.25">
      <c r="B553" s="26"/>
      <c r="C553" s="26"/>
      <c r="D553" s="26"/>
      <c r="E553" s="22">
        <v>0</v>
      </c>
      <c r="G553" s="1">
        <f>((Fórmulas!C$6/Fórmulas!D$6)/Fórmulas!E$6)*E553</f>
        <v>0</v>
      </c>
      <c r="H553" s="1">
        <f>G553*Fórmulas!B$9</f>
        <v>0</v>
      </c>
      <c r="I553" s="7">
        <f t="shared" si="17"/>
        <v>0</v>
      </c>
      <c r="K553" s="1">
        <v>1</v>
      </c>
      <c r="L553" s="1">
        <f>((Fórmulas!C$6/Fórmulas!D$6)/0.7)*K553</f>
        <v>2.4489795918367347</v>
      </c>
      <c r="M553" s="1">
        <f>L553*Fórmulas!D$6</f>
        <v>857.14285714285711</v>
      </c>
    </row>
    <row r="554" spans="2:13" s="22" customFormat="1" x14ac:dyDescent="0.25">
      <c r="B554" s="26"/>
      <c r="C554" s="26"/>
      <c r="D554" s="26"/>
      <c r="E554" s="22">
        <v>0</v>
      </c>
      <c r="G554" s="1">
        <f>((Fórmulas!C$6/Fórmulas!D$6)/Fórmulas!E$6)*E554</f>
        <v>0</v>
      </c>
      <c r="H554" s="1">
        <f>G554*Fórmulas!B$9</f>
        <v>0</v>
      </c>
      <c r="I554" s="7">
        <f t="shared" si="17"/>
        <v>0</v>
      </c>
      <c r="K554" s="1">
        <v>1</v>
      </c>
      <c r="L554" s="1">
        <f>((Fórmulas!C$6/Fórmulas!D$6)/0.7)*K554</f>
        <v>2.4489795918367347</v>
      </c>
      <c r="M554" s="1">
        <f>L554*Fórmulas!D$6</f>
        <v>857.14285714285711</v>
      </c>
    </row>
    <row r="555" spans="2:13" s="22" customFormat="1" x14ac:dyDescent="0.25">
      <c r="B555" s="26"/>
      <c r="C555" s="26"/>
      <c r="D555" s="26"/>
      <c r="E555" s="22">
        <v>0</v>
      </c>
      <c r="G555" s="1">
        <f>((Fórmulas!C$6/Fórmulas!D$6)/Fórmulas!E$6)*E555</f>
        <v>0</v>
      </c>
      <c r="H555" s="1">
        <f>G555*Fórmulas!B$9</f>
        <v>0</v>
      </c>
      <c r="I555" s="7">
        <f t="shared" si="17"/>
        <v>0</v>
      </c>
      <c r="K555" s="1">
        <v>1</v>
      </c>
      <c r="L555" s="1">
        <f>((Fórmulas!C$6/Fórmulas!D$6)/0.7)*K555</f>
        <v>2.4489795918367347</v>
      </c>
      <c r="M555" s="1">
        <f>L555*Fórmulas!D$6</f>
        <v>857.14285714285711</v>
      </c>
    </row>
    <row r="556" spans="2:13" s="22" customFormat="1" x14ac:dyDescent="0.25">
      <c r="B556" s="26"/>
      <c r="C556" s="26"/>
      <c r="D556" s="26"/>
      <c r="E556" s="22">
        <v>0</v>
      </c>
      <c r="G556" s="1">
        <f>((Fórmulas!C$6/Fórmulas!D$6)/Fórmulas!E$6)*E556</f>
        <v>0</v>
      </c>
      <c r="H556" s="1">
        <f>G556*Fórmulas!B$9</f>
        <v>0</v>
      </c>
      <c r="I556" s="7">
        <f t="shared" si="17"/>
        <v>0</v>
      </c>
      <c r="K556" s="1">
        <v>1</v>
      </c>
      <c r="L556" s="1">
        <f>((Fórmulas!C$6/Fórmulas!D$6)/0.7)*K556</f>
        <v>2.4489795918367347</v>
      </c>
      <c r="M556" s="1">
        <f>L556*Fórmulas!D$6</f>
        <v>857.14285714285711</v>
      </c>
    </row>
    <row r="557" spans="2:13" s="22" customFormat="1" x14ac:dyDescent="0.25">
      <c r="B557" s="26"/>
      <c r="C557" s="26"/>
      <c r="D557" s="26"/>
      <c r="E557" s="22">
        <v>0</v>
      </c>
      <c r="G557" s="1">
        <f>((Fórmulas!C$6/Fórmulas!D$6)/Fórmulas!E$6)*E557</f>
        <v>0</v>
      </c>
      <c r="H557" s="1">
        <f>G557*Fórmulas!B$9</f>
        <v>0</v>
      </c>
      <c r="I557" s="7">
        <f t="shared" si="17"/>
        <v>0</v>
      </c>
      <c r="K557" s="1">
        <v>1</v>
      </c>
      <c r="L557" s="1">
        <f>((Fórmulas!C$6/Fórmulas!D$6)/0.7)*K557</f>
        <v>2.4489795918367347</v>
      </c>
      <c r="M557" s="1">
        <f>L557*Fórmulas!D$6</f>
        <v>857.14285714285711</v>
      </c>
    </row>
    <row r="558" spans="2:13" s="22" customFormat="1" x14ac:dyDescent="0.25">
      <c r="B558" s="26"/>
      <c r="C558" s="26"/>
      <c r="D558" s="26"/>
      <c r="E558" s="22">
        <v>0</v>
      </c>
      <c r="G558" s="1">
        <f>((Fórmulas!C$6/Fórmulas!D$6)/Fórmulas!E$6)*E558</f>
        <v>0</v>
      </c>
      <c r="H558" s="1">
        <f>G558*Fórmulas!B$9</f>
        <v>0</v>
      </c>
      <c r="I558" s="7">
        <f t="shared" si="17"/>
        <v>0</v>
      </c>
      <c r="K558" s="1">
        <v>1</v>
      </c>
      <c r="L558" s="1">
        <f>((Fórmulas!C$6/Fórmulas!D$6)/0.7)*K558</f>
        <v>2.4489795918367347</v>
      </c>
      <c r="M558" s="1">
        <f>L558*Fórmulas!D$6</f>
        <v>857.14285714285711</v>
      </c>
    </row>
    <row r="559" spans="2:13" s="22" customFormat="1" x14ac:dyDescent="0.25">
      <c r="B559" s="26"/>
      <c r="C559" s="26"/>
      <c r="D559" s="26"/>
      <c r="E559" s="22">
        <v>0</v>
      </c>
      <c r="G559" s="1">
        <f>((Fórmulas!C$6/Fórmulas!D$6)/Fórmulas!E$6)*E559</f>
        <v>0</v>
      </c>
      <c r="H559" s="1">
        <f>G559*Fórmulas!B$9</f>
        <v>0</v>
      </c>
      <c r="I559" s="7">
        <f t="shared" si="17"/>
        <v>0</v>
      </c>
      <c r="K559" s="1">
        <v>1</v>
      </c>
      <c r="L559" s="1">
        <f>((Fórmulas!C$6/Fórmulas!D$6)/0.7)*K559</f>
        <v>2.4489795918367347</v>
      </c>
      <c r="M559" s="1">
        <f>L559*Fórmulas!D$6</f>
        <v>857.14285714285711</v>
      </c>
    </row>
    <row r="560" spans="2:13" s="22" customFormat="1" x14ac:dyDescent="0.25">
      <c r="B560" s="26"/>
      <c r="C560" s="26"/>
      <c r="D560" s="26"/>
      <c r="E560" s="22">
        <v>0</v>
      </c>
      <c r="G560" s="1">
        <f>((Fórmulas!C$6/Fórmulas!D$6)/Fórmulas!E$6)*E560</f>
        <v>0</v>
      </c>
      <c r="H560" s="1">
        <f>G560*Fórmulas!B$9</f>
        <v>0</v>
      </c>
      <c r="I560" s="7">
        <f t="shared" si="17"/>
        <v>0</v>
      </c>
      <c r="K560" s="1">
        <v>1</v>
      </c>
      <c r="L560" s="1">
        <f>((Fórmulas!C$6/Fórmulas!D$6)/0.7)*K560</f>
        <v>2.4489795918367347</v>
      </c>
      <c r="M560" s="1">
        <f>L560*Fórmulas!D$6</f>
        <v>857.14285714285711</v>
      </c>
    </row>
    <row r="561" spans="1:13" x14ac:dyDescent="0.25">
      <c r="A561" s="4"/>
      <c r="B561" s="28" t="s">
        <v>219</v>
      </c>
      <c r="C561" s="28"/>
      <c r="D561" s="28"/>
      <c r="E561" s="4">
        <v>0</v>
      </c>
      <c r="G561" s="1">
        <f>((Fórmulas!C$6/Fórmulas!D$6)/Fórmulas!E$6)*E561</f>
        <v>0</v>
      </c>
      <c r="H561" s="1">
        <f>G561*Fórmulas!B$9</f>
        <v>0</v>
      </c>
      <c r="I561" s="7">
        <f t="shared" si="14"/>
        <v>0</v>
      </c>
      <c r="J561" s="4"/>
      <c r="K561" s="1">
        <v>1</v>
      </c>
      <c r="L561" s="1">
        <f>((Fórmulas!C$6/Fórmulas!D$6)/0.7)*K561</f>
        <v>2.4489795918367347</v>
      </c>
      <c r="M561" s="1">
        <f>L561*Fórmulas!D$6</f>
        <v>857.14285714285711</v>
      </c>
    </row>
    <row r="562" spans="1:13" x14ac:dyDescent="0.25">
      <c r="A562" s="4"/>
      <c r="B562" s="26"/>
      <c r="C562" s="26"/>
      <c r="D562" s="26"/>
      <c r="E562" s="11">
        <v>0</v>
      </c>
      <c r="G562" s="1">
        <f>((Fórmulas!C$6/Fórmulas!D$6)/Fórmulas!E$6)*E562</f>
        <v>0</v>
      </c>
      <c r="H562" s="1">
        <f>G562*Fórmulas!B$9</f>
        <v>0</v>
      </c>
      <c r="I562" s="7">
        <f t="shared" si="14"/>
        <v>0</v>
      </c>
      <c r="K562" s="1">
        <v>1</v>
      </c>
      <c r="L562" s="1">
        <f>((Fórmulas!C$6/Fórmulas!D$6)/0.7)*K562</f>
        <v>2.4489795918367347</v>
      </c>
      <c r="M562" s="1">
        <f>L562*Fórmulas!D$6</f>
        <v>857.14285714285711</v>
      </c>
    </row>
    <row r="563" spans="1:13" x14ac:dyDescent="0.25">
      <c r="A563" s="4" t="s">
        <v>229</v>
      </c>
      <c r="B563" s="26" t="s">
        <v>230</v>
      </c>
      <c r="C563" s="26"/>
      <c r="D563" s="26"/>
      <c r="E563" s="11">
        <v>7.5</v>
      </c>
      <c r="G563" s="1">
        <f>((Fórmulas!C$6/Fórmulas!D$6)/Fórmulas!E$6)*E563</f>
        <v>18.367346938775512</v>
      </c>
      <c r="H563" s="1">
        <f>G563*Fórmulas!B$9</f>
        <v>6428.5714285714294</v>
      </c>
      <c r="I563" s="7">
        <f t="shared" si="14"/>
        <v>12.5</v>
      </c>
      <c r="K563" s="1">
        <v>1</v>
      </c>
      <c r="L563" s="1">
        <f>((Fórmulas!C$6/Fórmulas!D$6)/0.7)*K563</f>
        <v>2.4489795918367347</v>
      </c>
      <c r="M563" s="1">
        <f>L563*Fórmulas!D$6</f>
        <v>857.14285714285711</v>
      </c>
    </row>
    <row r="564" spans="1:13" s="3" customFormat="1" x14ac:dyDescent="0.25">
      <c r="A564" s="3" t="s">
        <v>229</v>
      </c>
      <c r="B564" s="25" t="s">
        <v>231</v>
      </c>
      <c r="C564" s="25"/>
      <c r="D564" s="25"/>
      <c r="E564" s="11">
        <v>9.6999999999999993</v>
      </c>
      <c r="F564" s="4"/>
      <c r="G564" s="1">
        <f>((Fórmulas!C$6/Fórmulas!D$6)/Fórmulas!E$6)*E564</f>
        <v>23.755102040816325</v>
      </c>
      <c r="H564" s="1">
        <f>G564*Fórmulas!B$9</f>
        <v>8314.2857142857138</v>
      </c>
      <c r="I564" s="7">
        <f t="shared" si="14"/>
        <v>16.166666666666668</v>
      </c>
      <c r="K564" s="1">
        <v>1</v>
      </c>
      <c r="L564" s="1">
        <f>((Fórmulas!C$6/Fórmulas!D$6)/0.7)*K564</f>
        <v>2.4489795918367347</v>
      </c>
      <c r="M564" s="1">
        <f>L564*Fórmulas!D$6</f>
        <v>857.14285714285711</v>
      </c>
    </row>
    <row r="565" spans="1:13" s="3" customFormat="1" x14ac:dyDescent="0.25">
      <c r="A565" s="3" t="s">
        <v>229</v>
      </c>
      <c r="B565" s="25" t="s">
        <v>233</v>
      </c>
      <c r="C565" s="25"/>
      <c r="D565" s="25"/>
      <c r="E565" s="11">
        <v>8.6</v>
      </c>
      <c r="F565" s="4"/>
      <c r="G565" s="1">
        <f>((Fórmulas!C$6/Fórmulas!D$6)/Fórmulas!E$6)*E565</f>
        <v>21.061224489795919</v>
      </c>
      <c r="H565" s="1">
        <f>G565*Fórmulas!B$9</f>
        <v>7371.4285714285716</v>
      </c>
      <c r="I565" s="7">
        <f t="shared" si="14"/>
        <v>14.333333333333334</v>
      </c>
      <c r="K565" s="1">
        <v>1</v>
      </c>
      <c r="L565" s="1">
        <f>((Fórmulas!C$6/Fórmulas!D$6)/0.7)*K565</f>
        <v>2.4489795918367347</v>
      </c>
      <c r="M565" s="1">
        <f>L565*Fórmulas!D$6</f>
        <v>857.14285714285711</v>
      </c>
    </row>
    <row r="566" spans="1:13" x14ac:dyDescent="0.25">
      <c r="A566" s="3" t="s">
        <v>229</v>
      </c>
      <c r="B566" s="25" t="s">
        <v>245</v>
      </c>
      <c r="C566" s="25"/>
      <c r="D566" s="25"/>
      <c r="E566" s="11">
        <v>6.4</v>
      </c>
      <c r="G566" s="1">
        <f>((Fórmulas!C$6/Fórmulas!D$6)/Fórmulas!E$6)*E566</f>
        <v>15.673469387755103</v>
      </c>
      <c r="H566" s="1">
        <f>G566*Fórmulas!B$9</f>
        <v>5485.7142857142862</v>
      </c>
      <c r="I566" s="7">
        <f t="shared" si="14"/>
        <v>10.666666666666668</v>
      </c>
      <c r="K566" s="1">
        <v>1</v>
      </c>
      <c r="L566" s="1">
        <f>((Fórmulas!C$6/Fórmulas!D$6)/0.7)*K566</f>
        <v>2.4489795918367347</v>
      </c>
      <c r="M566" s="1">
        <f>L566*Fórmulas!D$6</f>
        <v>857.14285714285711</v>
      </c>
    </row>
    <row r="567" spans="1:13" x14ac:dyDescent="0.25">
      <c r="A567" s="3" t="s">
        <v>229</v>
      </c>
      <c r="B567" s="25" t="s">
        <v>244</v>
      </c>
      <c r="C567" s="25"/>
      <c r="D567" s="25"/>
      <c r="E567" s="11">
        <v>9.6999999999999993</v>
      </c>
      <c r="G567" s="1">
        <f>((Fórmulas!C$6/Fórmulas!D$6)/Fórmulas!E$6)*E567</f>
        <v>23.755102040816325</v>
      </c>
      <c r="H567" s="1">
        <f>G567*Fórmulas!B$9</f>
        <v>8314.2857142857138</v>
      </c>
      <c r="I567" s="7">
        <f t="shared" si="14"/>
        <v>16.166666666666668</v>
      </c>
      <c r="K567" s="1">
        <v>1</v>
      </c>
      <c r="L567" s="1">
        <f>((Fórmulas!C$6/Fórmulas!D$6)/0.7)*K567</f>
        <v>2.4489795918367347</v>
      </c>
      <c r="M567" s="1">
        <f>L567*Fórmulas!D$6</f>
        <v>857.14285714285711</v>
      </c>
    </row>
    <row r="568" spans="1:13" x14ac:dyDescent="0.25">
      <c r="A568" s="3" t="s">
        <v>229</v>
      </c>
      <c r="B568" s="25" t="s">
        <v>232</v>
      </c>
      <c r="C568" s="25"/>
      <c r="D568" s="25"/>
      <c r="E568" s="11">
        <v>12.3</v>
      </c>
      <c r="G568" s="1">
        <f>((Fórmulas!C$6/Fórmulas!D$6)/Fórmulas!E$6)*E568</f>
        <v>30.122448979591841</v>
      </c>
      <c r="H568" s="1">
        <f>G568*Fórmulas!B$9</f>
        <v>10542.857142857145</v>
      </c>
      <c r="I568" s="7">
        <f t="shared" si="14"/>
        <v>20.500000000000004</v>
      </c>
      <c r="K568" s="1">
        <v>1</v>
      </c>
      <c r="L568" s="1">
        <f>((Fórmulas!C$6/Fórmulas!D$6)/0.7)*K568</f>
        <v>2.4489795918367347</v>
      </c>
      <c r="M568" s="1">
        <f>L568*Fórmulas!D$6</f>
        <v>857.14285714285711</v>
      </c>
    </row>
    <row r="569" spans="1:13" x14ac:dyDescent="0.25">
      <c r="A569" s="3" t="s">
        <v>229</v>
      </c>
      <c r="B569" s="25" t="s">
        <v>236</v>
      </c>
      <c r="C569" s="25"/>
      <c r="D569" s="25"/>
      <c r="E569" s="11">
        <v>7.5</v>
      </c>
      <c r="G569" s="1">
        <f>((Fórmulas!C$6/Fórmulas!D$6)/Fórmulas!E$6)*E569</f>
        <v>18.367346938775512</v>
      </c>
      <c r="H569" s="1">
        <f>G569*Fórmulas!B$9</f>
        <v>6428.5714285714294</v>
      </c>
      <c r="I569" s="7">
        <f t="shared" si="14"/>
        <v>12.5</v>
      </c>
      <c r="K569" s="1">
        <v>1</v>
      </c>
      <c r="L569" s="1">
        <f>((Fórmulas!C$6/Fórmulas!D$6)/0.7)*K569</f>
        <v>2.4489795918367347</v>
      </c>
      <c r="M569" s="1">
        <f>L569*Fórmulas!D$6</f>
        <v>857.14285714285711</v>
      </c>
    </row>
    <row r="570" spans="1:13" x14ac:dyDescent="0.25">
      <c r="A570" s="3" t="s">
        <v>229</v>
      </c>
      <c r="B570" s="25" t="s">
        <v>234</v>
      </c>
      <c r="C570" s="25"/>
      <c r="D570" s="25"/>
      <c r="E570" s="11">
        <v>12.3</v>
      </c>
      <c r="G570" s="1">
        <f>((Fórmulas!C$6/Fórmulas!D$6)/Fórmulas!E$6)*E570</f>
        <v>30.122448979591841</v>
      </c>
      <c r="H570" s="1">
        <f>G570*Fórmulas!B$9</f>
        <v>10542.857142857145</v>
      </c>
      <c r="I570" s="7">
        <f t="shared" si="14"/>
        <v>20.500000000000004</v>
      </c>
      <c r="K570" s="1">
        <v>1</v>
      </c>
      <c r="L570" s="1">
        <f>((Fórmulas!C$6/Fórmulas!D$6)/0.7)*K570</f>
        <v>2.4489795918367347</v>
      </c>
      <c r="M570" s="1">
        <f>L570*Fórmulas!D$6</f>
        <v>857.14285714285711</v>
      </c>
    </row>
    <row r="571" spans="1:13" x14ac:dyDescent="0.25">
      <c r="A571" s="3" t="s">
        <v>229</v>
      </c>
      <c r="B571" s="25" t="s">
        <v>235</v>
      </c>
      <c r="C571" s="25"/>
      <c r="D571" s="25"/>
      <c r="E571" s="11">
        <v>9.6999999999999993</v>
      </c>
      <c r="G571" s="1">
        <f>((Fórmulas!C$6/Fórmulas!D$6)/Fórmulas!E$6)*E571</f>
        <v>23.755102040816325</v>
      </c>
      <c r="H571" s="1">
        <f>G571*Fórmulas!B$9</f>
        <v>8314.2857142857138</v>
      </c>
      <c r="I571" s="7">
        <f t="shared" si="14"/>
        <v>16.166666666666668</v>
      </c>
      <c r="K571" s="1">
        <v>1</v>
      </c>
      <c r="L571" s="1">
        <f>((Fórmulas!C$6/Fórmulas!D$6)/0.7)*K571</f>
        <v>2.4489795918367347</v>
      </c>
      <c r="M571" s="1">
        <f>L571*Fórmulas!D$6</f>
        <v>857.14285714285711</v>
      </c>
    </row>
    <row r="572" spans="1:13" s="3" customFormat="1" x14ac:dyDescent="0.25">
      <c r="A572" s="3" t="s">
        <v>229</v>
      </c>
      <c r="B572" s="25" t="s">
        <v>237</v>
      </c>
      <c r="C572" s="25"/>
      <c r="D572" s="25"/>
      <c r="E572" s="11">
        <v>9.6999999999999993</v>
      </c>
      <c r="F572" s="4"/>
      <c r="G572" s="1">
        <f>((Fórmulas!C$6/Fórmulas!D$6)/Fórmulas!E$6)*E572</f>
        <v>23.755102040816325</v>
      </c>
      <c r="H572" s="1">
        <f>G572*Fórmulas!B$9</f>
        <v>8314.2857142857138</v>
      </c>
      <c r="I572" s="7">
        <f t="shared" si="14"/>
        <v>16.166666666666668</v>
      </c>
      <c r="K572" s="1">
        <v>1</v>
      </c>
      <c r="L572" s="1">
        <f>((Fórmulas!C$6/Fórmulas!D$6)/0.7)*K572</f>
        <v>2.4489795918367347</v>
      </c>
      <c r="M572" s="1">
        <f>L572*Fórmulas!D$6</f>
        <v>857.14285714285711</v>
      </c>
    </row>
    <row r="573" spans="1:13" s="3" customFormat="1" x14ac:dyDescent="0.25">
      <c r="A573" s="3" t="s">
        <v>229</v>
      </c>
      <c r="B573" s="25" t="s">
        <v>246</v>
      </c>
      <c r="C573" s="25"/>
      <c r="D573" s="25"/>
      <c r="E573" s="11">
        <v>12.3</v>
      </c>
      <c r="F573" s="4"/>
      <c r="G573" s="1">
        <f>((Fórmulas!C$6/Fórmulas!D$6)/Fórmulas!E$6)*E573</f>
        <v>30.122448979591841</v>
      </c>
      <c r="H573" s="1">
        <f>G573*Fórmulas!B$9</f>
        <v>10542.857142857145</v>
      </c>
      <c r="I573" s="7">
        <f t="shared" si="14"/>
        <v>20.500000000000004</v>
      </c>
      <c r="K573" s="1">
        <v>1</v>
      </c>
      <c r="L573" s="1">
        <f>((Fórmulas!C$6/Fórmulas!D$6)/0.7)*K573</f>
        <v>2.4489795918367347</v>
      </c>
      <c r="M573" s="1">
        <f>L573*Fórmulas!D$6</f>
        <v>857.14285714285711</v>
      </c>
    </row>
    <row r="574" spans="1:13" x14ac:dyDescent="0.25">
      <c r="A574" s="3" t="s">
        <v>229</v>
      </c>
      <c r="B574" s="25" t="s">
        <v>247</v>
      </c>
      <c r="C574" s="25"/>
      <c r="D574" s="25"/>
      <c r="E574" s="11">
        <v>9.6999999999999993</v>
      </c>
      <c r="G574" s="1">
        <f>((Fórmulas!C$6/Fórmulas!D$6)/Fórmulas!E$6)*E574</f>
        <v>23.755102040816325</v>
      </c>
      <c r="H574" s="1">
        <f>G574*Fórmulas!B$9</f>
        <v>8314.2857142857138</v>
      </c>
      <c r="I574" s="7">
        <f t="shared" si="14"/>
        <v>16.166666666666668</v>
      </c>
      <c r="K574" s="1">
        <v>1</v>
      </c>
      <c r="L574" s="1">
        <f>((Fórmulas!C$6/Fórmulas!D$6)/0.7)*K574</f>
        <v>2.4489795918367347</v>
      </c>
      <c r="M574" s="1">
        <f>L574*Fórmulas!D$6</f>
        <v>857.14285714285711</v>
      </c>
    </row>
    <row r="575" spans="1:13" x14ac:dyDescent="0.25">
      <c r="A575" s="3" t="s">
        <v>229</v>
      </c>
      <c r="B575" s="25" t="s">
        <v>243</v>
      </c>
      <c r="C575" s="25"/>
      <c r="D575" s="25"/>
      <c r="E575" s="11">
        <v>7.5</v>
      </c>
      <c r="G575" s="1">
        <f>((Fórmulas!C$6/Fórmulas!D$6)/Fórmulas!E$6)*E575</f>
        <v>18.367346938775512</v>
      </c>
      <c r="H575" s="1">
        <f>G575*Fórmulas!B$9</f>
        <v>6428.5714285714294</v>
      </c>
      <c r="I575" s="7">
        <f t="shared" si="14"/>
        <v>12.5</v>
      </c>
      <c r="K575" s="1">
        <v>1</v>
      </c>
      <c r="L575" s="1">
        <f>((Fórmulas!C$6/Fórmulas!D$6)/0.7)*K575</f>
        <v>2.4489795918367347</v>
      </c>
      <c r="M575" s="1">
        <f>L575*Fórmulas!D$6</f>
        <v>857.14285714285711</v>
      </c>
    </row>
    <row r="576" spans="1:13" s="3" customFormat="1" x14ac:dyDescent="0.25">
      <c r="A576" s="3" t="s">
        <v>229</v>
      </c>
      <c r="B576" s="26" t="s">
        <v>238</v>
      </c>
      <c r="C576" s="26"/>
      <c r="D576" s="26"/>
      <c r="E576" s="11">
        <v>9.6999999999999993</v>
      </c>
      <c r="F576" s="4"/>
      <c r="G576" s="1">
        <f>((Fórmulas!C$6/Fórmulas!D$6)/Fórmulas!E$6)*E576</f>
        <v>23.755102040816325</v>
      </c>
      <c r="H576" s="1">
        <f>G576*Fórmulas!B$9</f>
        <v>8314.2857142857138</v>
      </c>
      <c r="I576" s="7">
        <f t="shared" si="14"/>
        <v>16.166666666666668</v>
      </c>
      <c r="K576" s="1">
        <v>1</v>
      </c>
      <c r="L576" s="1">
        <f>((Fórmulas!C$6/Fórmulas!D$6)/0.7)*K576</f>
        <v>2.4489795918367347</v>
      </c>
      <c r="M576" s="1">
        <f>L576*Fórmulas!D$6</f>
        <v>857.14285714285711</v>
      </c>
    </row>
    <row r="577" spans="1:13" x14ac:dyDescent="0.25">
      <c r="A577" s="3" t="s">
        <v>229</v>
      </c>
      <c r="B577" s="25" t="s">
        <v>239</v>
      </c>
      <c r="C577" s="25"/>
      <c r="D577" s="25"/>
      <c r="E577" s="11">
        <v>0</v>
      </c>
      <c r="G577" s="1">
        <f>((Fórmulas!C$6/Fórmulas!D$6)/Fórmulas!E$6)*E577</f>
        <v>0</v>
      </c>
      <c r="H577" s="1">
        <f>G577*Fórmulas!B$9</f>
        <v>0</v>
      </c>
      <c r="I577" s="7">
        <f t="shared" si="14"/>
        <v>0</v>
      </c>
      <c r="K577" s="1">
        <v>1</v>
      </c>
      <c r="L577" s="1">
        <f>((Fórmulas!C$6/Fórmulas!D$6)/0.7)*K577</f>
        <v>2.4489795918367347</v>
      </c>
      <c r="M577" s="1">
        <f>L577*Fórmulas!D$6</f>
        <v>857.14285714285711</v>
      </c>
    </row>
    <row r="578" spans="1:13" x14ac:dyDescent="0.25">
      <c r="A578" s="3" t="s">
        <v>229</v>
      </c>
      <c r="B578" s="25" t="s">
        <v>248</v>
      </c>
      <c r="C578" s="25"/>
      <c r="D578" s="25"/>
      <c r="E578" s="11">
        <v>6</v>
      </c>
      <c r="G578" s="1">
        <f>((Fórmulas!C$6/Fórmulas!D$6)/Fórmulas!E$6)*E578</f>
        <v>14.693877551020408</v>
      </c>
      <c r="H578" s="1">
        <f>G578*Fórmulas!B$9</f>
        <v>5142.8571428571431</v>
      </c>
      <c r="I578" s="7">
        <f t="shared" si="14"/>
        <v>10</v>
      </c>
      <c r="K578" s="1">
        <v>1</v>
      </c>
      <c r="L578" s="1">
        <f>((Fórmulas!C$6/Fórmulas!D$6)/0.7)*K578</f>
        <v>2.4489795918367347</v>
      </c>
      <c r="M578" s="1">
        <f>L578*Fórmulas!D$6</f>
        <v>857.14285714285711</v>
      </c>
    </row>
    <row r="579" spans="1:13" x14ac:dyDescent="0.25">
      <c r="A579" s="3" t="s">
        <v>229</v>
      </c>
      <c r="B579" s="25" t="s">
        <v>249</v>
      </c>
      <c r="C579" s="25"/>
      <c r="D579" s="25"/>
      <c r="E579" s="11">
        <v>6</v>
      </c>
      <c r="G579" s="1">
        <f>((Fórmulas!C$6/Fórmulas!D$6)/Fórmulas!E$6)*E579</f>
        <v>14.693877551020408</v>
      </c>
      <c r="H579" s="1">
        <f>G579*Fórmulas!B$9</f>
        <v>5142.8571428571431</v>
      </c>
      <c r="I579" s="7">
        <f t="shared" si="14"/>
        <v>10</v>
      </c>
      <c r="K579" s="1">
        <v>1</v>
      </c>
      <c r="L579" s="1">
        <f>((Fórmulas!C$6/Fórmulas!D$6)/0.7)*K579</f>
        <v>2.4489795918367347</v>
      </c>
      <c r="M579" s="1">
        <f>L579*Fórmulas!D$6</f>
        <v>857.14285714285711</v>
      </c>
    </row>
    <row r="580" spans="1:13" x14ac:dyDescent="0.25">
      <c r="A580" s="3" t="s">
        <v>229</v>
      </c>
      <c r="B580" s="25" t="s">
        <v>250</v>
      </c>
      <c r="C580" s="25"/>
      <c r="D580" s="25"/>
      <c r="E580" s="11">
        <v>8.6</v>
      </c>
      <c r="G580" s="1">
        <f>((Fórmulas!C$6/Fórmulas!D$6)/Fórmulas!E$6)*E580</f>
        <v>21.061224489795919</v>
      </c>
      <c r="H580" s="1">
        <f>G580*Fórmulas!B$9</f>
        <v>7371.4285714285716</v>
      </c>
      <c r="I580" s="7">
        <f t="shared" si="14"/>
        <v>14.333333333333334</v>
      </c>
      <c r="K580" s="1">
        <v>1</v>
      </c>
      <c r="L580" s="1">
        <f>((Fórmulas!C$6/Fórmulas!D$6)/0.7)*K580</f>
        <v>2.4489795918367347</v>
      </c>
      <c r="M580" s="1">
        <f>L580*Fórmulas!D$6</f>
        <v>857.14285714285711</v>
      </c>
    </row>
    <row r="581" spans="1:13" x14ac:dyDescent="0.25">
      <c r="A581" s="3" t="s">
        <v>229</v>
      </c>
      <c r="B581" s="25" t="s">
        <v>251</v>
      </c>
      <c r="C581" s="25"/>
      <c r="D581" s="25"/>
      <c r="E581" s="11">
        <v>0</v>
      </c>
      <c r="G581" s="1">
        <f>((Fórmulas!C$6/Fórmulas!D$6)/Fórmulas!E$6)*E581</f>
        <v>0</v>
      </c>
      <c r="H581" s="1">
        <f>G581*Fórmulas!B$9</f>
        <v>0</v>
      </c>
      <c r="I581" s="7">
        <f t="shared" si="14"/>
        <v>0</v>
      </c>
      <c r="K581" s="1">
        <v>1</v>
      </c>
      <c r="L581" s="1">
        <f>((Fórmulas!C$6/Fórmulas!D$6)/0.7)*K581</f>
        <v>2.4489795918367347</v>
      </c>
      <c r="M581" s="1">
        <f>L581*Fórmulas!D$6</f>
        <v>857.14285714285711</v>
      </c>
    </row>
    <row r="582" spans="1:13" x14ac:dyDescent="0.25">
      <c r="A582" s="3" t="s">
        <v>229</v>
      </c>
      <c r="B582" s="25" t="s">
        <v>240</v>
      </c>
      <c r="C582" s="25"/>
      <c r="D582" s="25"/>
      <c r="E582" s="11">
        <v>9.6999999999999993</v>
      </c>
      <c r="G582" s="1">
        <f>((Fórmulas!C$6/Fórmulas!D$6)/Fórmulas!E$6)*E582</f>
        <v>23.755102040816325</v>
      </c>
      <c r="H582" s="1">
        <f>G582*Fórmulas!B$9</f>
        <v>8314.2857142857138</v>
      </c>
      <c r="I582" s="7">
        <f t="shared" si="14"/>
        <v>16.166666666666668</v>
      </c>
      <c r="K582" s="1">
        <v>1</v>
      </c>
      <c r="L582" s="1">
        <f>((Fórmulas!C$6/Fórmulas!D$6)/0.7)*K582</f>
        <v>2.4489795918367347</v>
      </c>
      <c r="M582" s="1">
        <f>L582*Fórmulas!D$6</f>
        <v>857.14285714285711</v>
      </c>
    </row>
    <row r="583" spans="1:13" x14ac:dyDescent="0.25">
      <c r="A583" s="3" t="s">
        <v>229</v>
      </c>
      <c r="B583" s="25" t="s">
        <v>252</v>
      </c>
      <c r="C583" s="25"/>
      <c r="D583" s="25"/>
      <c r="E583" s="11">
        <v>0</v>
      </c>
      <c r="G583" s="1">
        <f>((Fórmulas!C$6/Fórmulas!D$6)/Fórmulas!E$6)*E583</f>
        <v>0</v>
      </c>
      <c r="H583" s="1">
        <f>G583*Fórmulas!B$9</f>
        <v>0</v>
      </c>
      <c r="I583" s="7">
        <f t="shared" si="14"/>
        <v>0</v>
      </c>
      <c r="K583" s="1">
        <v>1</v>
      </c>
      <c r="L583" s="1">
        <f>((Fórmulas!C$6/Fórmulas!D$6)/0.7)*K583</f>
        <v>2.4489795918367347</v>
      </c>
      <c r="M583" s="1">
        <f>L583*Fórmulas!D$6</f>
        <v>857.14285714285711</v>
      </c>
    </row>
    <row r="584" spans="1:13" x14ac:dyDescent="0.25">
      <c r="A584" s="3" t="s">
        <v>229</v>
      </c>
      <c r="B584" s="25" t="s">
        <v>241</v>
      </c>
      <c r="C584" s="25"/>
      <c r="D584" s="25"/>
      <c r="E584" s="11">
        <v>9.6999999999999993</v>
      </c>
      <c r="G584" s="1">
        <f>((Fórmulas!C$6/Fórmulas!D$6)/Fórmulas!E$6)*E584</f>
        <v>23.755102040816325</v>
      </c>
      <c r="H584" s="1">
        <f>G584*Fórmulas!B$9</f>
        <v>8314.2857142857138</v>
      </c>
      <c r="I584" s="7">
        <f t="shared" si="14"/>
        <v>16.166666666666668</v>
      </c>
      <c r="K584" s="1">
        <v>1</v>
      </c>
      <c r="L584" s="1">
        <f>((Fórmulas!C$6/Fórmulas!D$6)/0.7)*K584</f>
        <v>2.4489795918367347</v>
      </c>
      <c r="M584" s="1">
        <f>L584*Fórmulas!D$6</f>
        <v>857.14285714285711</v>
      </c>
    </row>
    <row r="585" spans="1:13" x14ac:dyDescent="0.25">
      <c r="A585" s="3" t="s">
        <v>229</v>
      </c>
      <c r="B585" s="25" t="s">
        <v>242</v>
      </c>
      <c r="C585" s="25"/>
      <c r="D585" s="25"/>
      <c r="E585" s="11">
        <v>9.6999999999999993</v>
      </c>
      <c r="G585" s="1">
        <f>((Fórmulas!C$6/Fórmulas!D$6)/Fórmulas!E$6)*E585</f>
        <v>23.755102040816325</v>
      </c>
      <c r="H585" s="1">
        <f>G585*Fórmulas!B$9</f>
        <v>8314.2857142857138</v>
      </c>
      <c r="I585" s="7">
        <f t="shared" si="14"/>
        <v>16.166666666666668</v>
      </c>
      <c r="K585" s="1">
        <v>1</v>
      </c>
      <c r="L585" s="1">
        <f>((Fórmulas!C$6/Fórmulas!D$6)/0.7)*K585</f>
        <v>2.4489795918367347</v>
      </c>
      <c r="M585" s="1">
        <f>L585*Fórmulas!D$6</f>
        <v>857.14285714285711</v>
      </c>
    </row>
    <row r="586" spans="1:13" x14ac:dyDescent="0.25">
      <c r="A586" s="3" t="s">
        <v>229</v>
      </c>
      <c r="B586" s="25" t="s">
        <v>253</v>
      </c>
      <c r="C586" s="25"/>
      <c r="D586" s="25"/>
      <c r="E586" s="11">
        <v>9.6999999999999993</v>
      </c>
      <c r="G586" s="1">
        <f>((Fórmulas!C$6/Fórmulas!D$6)/Fórmulas!E$6)*E586</f>
        <v>23.755102040816325</v>
      </c>
      <c r="H586" s="1">
        <f>G586*Fórmulas!B$9</f>
        <v>8314.2857142857138</v>
      </c>
      <c r="I586" s="7">
        <f t="shared" si="14"/>
        <v>16.166666666666668</v>
      </c>
      <c r="K586" s="1">
        <v>1</v>
      </c>
      <c r="L586" s="1">
        <f>((Fórmulas!C$6/Fórmulas!D$6)/0.7)*K586</f>
        <v>2.4489795918367347</v>
      </c>
      <c r="M586" s="1">
        <f>L586*Fórmulas!D$6</f>
        <v>857.14285714285711</v>
      </c>
    </row>
    <row r="587" spans="1:13" x14ac:dyDescent="0.25">
      <c r="A587" s="3" t="s">
        <v>229</v>
      </c>
      <c r="B587" s="25" t="s">
        <v>254</v>
      </c>
      <c r="C587" s="25"/>
      <c r="D587" s="25"/>
      <c r="E587" s="11">
        <v>1.9</v>
      </c>
      <c r="G587" s="1">
        <f>((Fórmulas!C$6/Fórmulas!D$6)/Fórmulas!E$6)*E587</f>
        <v>4.6530612244897958</v>
      </c>
      <c r="H587" s="1">
        <f>G587*Fórmulas!B$9</f>
        <v>1628.5714285714284</v>
      </c>
      <c r="I587" s="7">
        <f t="shared" si="14"/>
        <v>3.1666666666666665</v>
      </c>
      <c r="K587" s="1">
        <v>1</v>
      </c>
      <c r="L587" s="1">
        <f>((Fórmulas!C$6/Fórmulas!D$6)/0.7)*K587</f>
        <v>2.4489795918367347</v>
      </c>
      <c r="M587" s="1">
        <f>L587*Fórmulas!D$6</f>
        <v>857.14285714285711</v>
      </c>
    </row>
    <row r="588" spans="1:13" s="4" customFormat="1" x14ac:dyDescent="0.25">
      <c r="A588" s="3" t="s">
        <v>229</v>
      </c>
      <c r="B588" s="25" t="s">
        <v>255</v>
      </c>
      <c r="C588" s="25"/>
      <c r="D588" s="25"/>
      <c r="E588" s="11">
        <v>0</v>
      </c>
      <c r="G588" s="1">
        <f>((Fórmulas!C$6/Fórmulas!D$6)/Fórmulas!E$6)*E588</f>
        <v>0</v>
      </c>
      <c r="H588" s="1">
        <f>G588*Fórmulas!B$9</f>
        <v>0</v>
      </c>
      <c r="I588" s="7">
        <f t="shared" si="14"/>
        <v>0</v>
      </c>
      <c r="K588" s="1">
        <v>1</v>
      </c>
      <c r="L588" s="1">
        <f>((Fórmulas!C$6/Fórmulas!D$6)/0.7)*K588</f>
        <v>2.4489795918367347</v>
      </c>
      <c r="M588" s="1">
        <f>L588*Fórmulas!D$6</f>
        <v>857.14285714285711</v>
      </c>
    </row>
    <row r="589" spans="1:13" s="4" customFormat="1" x14ac:dyDescent="0.25">
      <c r="A589" s="3" t="s">
        <v>229</v>
      </c>
      <c r="B589" s="25" t="s">
        <v>256</v>
      </c>
      <c r="C589" s="25"/>
      <c r="D589" s="25"/>
      <c r="E589" s="11">
        <v>0</v>
      </c>
      <c r="G589" s="1">
        <f>((Fórmulas!C$6/Fórmulas!D$6)/Fórmulas!E$6)*E589</f>
        <v>0</v>
      </c>
      <c r="H589" s="1">
        <f>G589*Fórmulas!B$9</f>
        <v>0</v>
      </c>
      <c r="I589" s="7">
        <f t="shared" si="14"/>
        <v>0</v>
      </c>
      <c r="K589" s="1">
        <v>1</v>
      </c>
      <c r="L589" s="1">
        <f>((Fórmulas!C$6/Fórmulas!D$6)/0.7)*K589</f>
        <v>2.4489795918367347</v>
      </c>
      <c r="M589" s="1">
        <f>L589*Fórmulas!D$6</f>
        <v>857.14285714285711</v>
      </c>
    </row>
    <row r="590" spans="1:13" s="4" customFormat="1" x14ac:dyDescent="0.25">
      <c r="A590" s="4" t="s">
        <v>229</v>
      </c>
      <c r="B590" s="25" t="s">
        <v>432</v>
      </c>
      <c r="C590" s="25"/>
      <c r="D590" s="25"/>
      <c r="E590" s="11">
        <v>9.9499999999999993</v>
      </c>
      <c r="G590" s="1">
        <f>((Fórmulas!C$6/Fórmulas!D$6)/Fórmulas!E$6)*E590</f>
        <v>24.367346938775508</v>
      </c>
      <c r="H590" s="1">
        <f>G590*Fórmulas!B$9</f>
        <v>8528.5714285714275</v>
      </c>
      <c r="I590" s="7">
        <f t="shared" si="14"/>
        <v>16.583333333333332</v>
      </c>
      <c r="K590" s="1">
        <v>1</v>
      </c>
      <c r="L590" s="1">
        <f>((Fórmulas!C$6/Fórmulas!D$6)/0.7)*K590</f>
        <v>2.4489795918367347</v>
      </c>
      <c r="M590" s="1">
        <f>L590*Fórmulas!D$6</f>
        <v>857.14285714285711</v>
      </c>
    </row>
    <row r="591" spans="1:13" s="4" customFormat="1" x14ac:dyDescent="0.25">
      <c r="B591" s="25"/>
      <c r="C591" s="25"/>
      <c r="D591" s="25"/>
      <c r="E591" s="4">
        <v>0</v>
      </c>
      <c r="G591" s="1">
        <f>((Fórmulas!C$6/Fórmulas!D$6)/Fórmulas!E$6)*E591</f>
        <v>0</v>
      </c>
      <c r="H591" s="1">
        <f>G591*Fórmulas!B$9</f>
        <v>0</v>
      </c>
      <c r="I591" s="7">
        <f t="shared" ref="I591:I654" si="18">E591/0.6</f>
        <v>0</v>
      </c>
      <c r="K591" s="1">
        <v>1</v>
      </c>
      <c r="L591" s="1">
        <f>((Fórmulas!C$6/Fórmulas!D$6)/0.7)*K591</f>
        <v>2.4489795918367347</v>
      </c>
      <c r="M591" s="1">
        <f>L591*Fórmulas!D$6</f>
        <v>857.14285714285711</v>
      </c>
    </row>
    <row r="592" spans="1:13" s="4" customFormat="1" x14ac:dyDescent="0.25">
      <c r="B592" s="25"/>
      <c r="C592" s="25"/>
      <c r="D592" s="25"/>
      <c r="E592" s="4">
        <v>0</v>
      </c>
      <c r="G592" s="1">
        <f>((Fórmulas!C$6/Fórmulas!D$6)/Fórmulas!E$6)*E592</f>
        <v>0</v>
      </c>
      <c r="H592" s="1">
        <f>G592*Fórmulas!B$9</f>
        <v>0</v>
      </c>
      <c r="I592" s="7">
        <f t="shared" si="18"/>
        <v>0</v>
      </c>
      <c r="K592" s="1">
        <v>1</v>
      </c>
      <c r="L592" s="1">
        <f>((Fórmulas!C$6/Fórmulas!D$6)/0.7)*K592</f>
        <v>2.4489795918367347</v>
      </c>
      <c r="M592" s="1">
        <f>L592*Fórmulas!D$6</f>
        <v>857.14285714285711</v>
      </c>
    </row>
    <row r="593" spans="1:13" s="4" customFormat="1" x14ac:dyDescent="0.25">
      <c r="A593" s="4" t="s">
        <v>647</v>
      </c>
      <c r="B593" s="25" t="s">
        <v>650</v>
      </c>
      <c r="C593" s="25"/>
      <c r="D593" s="25"/>
      <c r="E593" s="4">
        <v>10</v>
      </c>
      <c r="G593" s="1">
        <f>((Fórmulas!C$6/Fórmulas!D$6)/Fórmulas!E$6)*E593</f>
        <v>24.489795918367349</v>
      </c>
      <c r="H593" s="1">
        <f>G593*Fórmulas!B$9</f>
        <v>8571.4285714285725</v>
      </c>
      <c r="I593" s="7">
        <f t="shared" si="18"/>
        <v>16.666666666666668</v>
      </c>
      <c r="K593" s="1">
        <v>1</v>
      </c>
      <c r="L593" s="1">
        <f>((Fórmulas!C$6/Fórmulas!D$6)/0.7)*K593</f>
        <v>2.4489795918367347</v>
      </c>
      <c r="M593" s="1">
        <f>L593*Fórmulas!D$6</f>
        <v>857.14285714285711</v>
      </c>
    </row>
    <row r="594" spans="1:13" s="4" customFormat="1" x14ac:dyDescent="0.25">
      <c r="A594" s="11" t="s">
        <v>647</v>
      </c>
      <c r="B594" s="25" t="s">
        <v>648</v>
      </c>
      <c r="C594" s="25"/>
      <c r="D594" s="25"/>
      <c r="E594" s="4">
        <v>10</v>
      </c>
      <c r="G594" s="1">
        <f>((Fórmulas!C$6/Fórmulas!D$6)/Fórmulas!E$6)*E594</f>
        <v>24.489795918367349</v>
      </c>
      <c r="H594" s="1">
        <f>G594*Fórmulas!B$9</f>
        <v>8571.4285714285725</v>
      </c>
      <c r="I594" s="7">
        <f t="shared" si="18"/>
        <v>16.666666666666668</v>
      </c>
      <c r="K594" s="1">
        <v>1</v>
      </c>
      <c r="L594" s="1">
        <f>((Fórmulas!C$6/Fórmulas!D$6)/0.7)*K594</f>
        <v>2.4489795918367347</v>
      </c>
      <c r="M594" s="1">
        <f>L594*Fórmulas!D$6</f>
        <v>857.14285714285711</v>
      </c>
    </row>
    <row r="595" spans="1:13" s="4" customFormat="1" x14ac:dyDescent="0.25">
      <c r="A595" s="11" t="s">
        <v>647</v>
      </c>
      <c r="B595" s="25" t="s">
        <v>649</v>
      </c>
      <c r="C595" s="25"/>
      <c r="D595" s="25"/>
      <c r="E595" s="4">
        <v>10</v>
      </c>
      <c r="G595" s="1">
        <f>((Fórmulas!C$6/Fórmulas!D$6)/Fórmulas!E$6)*E595</f>
        <v>24.489795918367349</v>
      </c>
      <c r="H595" s="1">
        <f>G595*Fórmulas!B$9</f>
        <v>8571.4285714285725</v>
      </c>
      <c r="I595" s="7">
        <f t="shared" si="18"/>
        <v>16.666666666666668</v>
      </c>
      <c r="K595" s="1">
        <v>1</v>
      </c>
      <c r="L595" s="1">
        <f>((Fórmulas!C$6/Fórmulas!D$6)/0.7)*K595</f>
        <v>2.4489795918367347</v>
      </c>
      <c r="M595" s="1">
        <f>L595*Fórmulas!D$6</f>
        <v>857.14285714285711</v>
      </c>
    </row>
    <row r="596" spans="1:13" x14ac:dyDescent="0.25">
      <c r="A596" s="22" t="s">
        <v>647</v>
      </c>
      <c r="B596" s="25" t="s">
        <v>820</v>
      </c>
      <c r="C596" s="25"/>
      <c r="D596" s="25"/>
      <c r="E596">
        <v>7</v>
      </c>
      <c r="G596" s="1">
        <f>((Fórmulas!C$6/Fórmulas!D$6)/Fórmulas!E$6)*E596</f>
        <v>17.142857142857142</v>
      </c>
      <c r="H596" s="1">
        <f>G596*Fórmulas!B$9</f>
        <v>6000</v>
      </c>
      <c r="I596" s="7">
        <f t="shared" si="18"/>
        <v>11.666666666666668</v>
      </c>
      <c r="K596" s="1">
        <v>1</v>
      </c>
      <c r="L596" s="1">
        <f>((Fórmulas!C$6/Fórmulas!D$6)/0.7)*K596</f>
        <v>2.4489795918367347</v>
      </c>
      <c r="M596" s="1">
        <f>L596*Fórmulas!D$6</f>
        <v>857.14285714285711</v>
      </c>
    </row>
    <row r="597" spans="1:13" x14ac:dyDescent="0.25">
      <c r="A597" s="22" t="s">
        <v>647</v>
      </c>
      <c r="B597" s="25" t="s">
        <v>573</v>
      </c>
      <c r="C597" s="25"/>
      <c r="D597" s="25"/>
      <c r="E597">
        <v>7</v>
      </c>
      <c r="G597" s="1">
        <f>((Fórmulas!C$6/Fórmulas!D$6)/Fórmulas!E$6)*E597</f>
        <v>17.142857142857142</v>
      </c>
      <c r="H597" s="1">
        <f>G597*Fórmulas!B$9</f>
        <v>6000</v>
      </c>
      <c r="I597" s="7">
        <f t="shared" si="18"/>
        <v>11.666666666666668</v>
      </c>
      <c r="K597" s="1">
        <v>1</v>
      </c>
      <c r="L597" s="1">
        <f>((Fórmulas!C$6/Fórmulas!D$6)/0.7)*K597</f>
        <v>2.4489795918367347</v>
      </c>
      <c r="M597" s="1">
        <f>L597*Fórmulas!D$6</f>
        <v>857.14285714285711</v>
      </c>
    </row>
    <row r="598" spans="1:13" x14ac:dyDescent="0.25">
      <c r="A598" s="22" t="s">
        <v>647</v>
      </c>
      <c r="B598" s="25" t="s">
        <v>821</v>
      </c>
      <c r="C598" s="25"/>
      <c r="D598" s="25"/>
      <c r="E598">
        <v>7</v>
      </c>
      <c r="G598" s="1">
        <f>((Fórmulas!C$6/Fórmulas!D$6)/Fórmulas!E$6)*E598</f>
        <v>17.142857142857142</v>
      </c>
      <c r="H598" s="1">
        <f>G598*Fórmulas!B$9</f>
        <v>6000</v>
      </c>
      <c r="I598" s="7">
        <f t="shared" si="18"/>
        <v>11.666666666666668</v>
      </c>
      <c r="K598" s="1">
        <v>1</v>
      </c>
      <c r="L598" s="1">
        <f>((Fórmulas!C$6/Fórmulas!D$6)/0.7)*K598</f>
        <v>2.4489795918367347</v>
      </c>
      <c r="M598" s="1">
        <f>L598*Fórmulas!D$6</f>
        <v>857.14285714285711</v>
      </c>
    </row>
    <row r="599" spans="1:13" x14ac:dyDescent="0.25">
      <c r="B599" s="26"/>
      <c r="C599" s="26"/>
      <c r="D599" s="26"/>
      <c r="E599">
        <v>0</v>
      </c>
      <c r="G599" s="1">
        <f>((Fórmulas!C$6/Fórmulas!D$6)/Fórmulas!E$6)*E599</f>
        <v>0</v>
      </c>
      <c r="H599" s="1">
        <f>G599*Fórmulas!B$9</f>
        <v>0</v>
      </c>
      <c r="I599" s="7">
        <f t="shared" si="18"/>
        <v>0</v>
      </c>
      <c r="K599" s="1">
        <v>1</v>
      </c>
      <c r="L599" s="1">
        <f>((Fórmulas!C$6/Fórmulas!D$6)/0.7)*K599</f>
        <v>2.4489795918367347</v>
      </c>
      <c r="M599" s="1">
        <f>L599*Fórmulas!D$6</f>
        <v>857.14285714285711</v>
      </c>
    </row>
    <row r="600" spans="1:13" x14ac:dyDescent="0.25">
      <c r="B600" s="26"/>
      <c r="C600" s="26"/>
      <c r="D600" s="26"/>
      <c r="E600">
        <v>0</v>
      </c>
      <c r="G600" s="1">
        <f>((Fórmulas!C$6/Fórmulas!D$6)/Fórmulas!E$6)*E600</f>
        <v>0</v>
      </c>
      <c r="H600" s="1">
        <f>G600*Fórmulas!B$9</f>
        <v>0</v>
      </c>
      <c r="I600" s="7">
        <f t="shared" si="18"/>
        <v>0</v>
      </c>
      <c r="K600" s="1">
        <v>1</v>
      </c>
      <c r="L600" s="1">
        <f>((Fórmulas!C$6/Fórmulas!D$6)/0.7)*K600</f>
        <v>2.4489795918367347</v>
      </c>
      <c r="M600" s="1">
        <f>L600*Fórmulas!D$6</f>
        <v>857.14285714285711</v>
      </c>
    </row>
    <row r="601" spans="1:13" x14ac:dyDescent="0.25">
      <c r="B601" s="26"/>
      <c r="C601" s="26"/>
      <c r="D601" s="26"/>
      <c r="E601">
        <v>0</v>
      </c>
      <c r="G601" s="1">
        <f>((Fórmulas!C$6/Fórmulas!D$6)/Fórmulas!E$6)*E601</f>
        <v>0</v>
      </c>
      <c r="H601" s="1">
        <f>G601*Fórmulas!B$9</f>
        <v>0</v>
      </c>
      <c r="I601" s="7">
        <f t="shared" si="18"/>
        <v>0</v>
      </c>
      <c r="K601" s="1">
        <v>1</v>
      </c>
      <c r="L601" s="1">
        <f>((Fórmulas!C$6/Fórmulas!D$6)/0.7)*K601</f>
        <v>2.4489795918367347</v>
      </c>
      <c r="M601" s="1">
        <f>L601*Fórmulas!D$6</f>
        <v>857.14285714285711</v>
      </c>
    </row>
    <row r="602" spans="1:13" x14ac:dyDescent="0.25">
      <c r="A602" s="22" t="s">
        <v>398</v>
      </c>
      <c r="B602" s="25" t="s">
        <v>399</v>
      </c>
      <c r="C602" s="25"/>
      <c r="D602" s="25"/>
      <c r="E602" s="22">
        <v>5.4</v>
      </c>
      <c r="F602" s="22"/>
      <c r="G602" s="1">
        <f>((Fórmulas!C$6/Fórmulas!D$6)/Fórmulas!E$6)*E602</f>
        <v>13.224489795918368</v>
      </c>
      <c r="H602" s="1">
        <f>G602*Fórmulas!B$9</f>
        <v>4628.5714285714284</v>
      </c>
      <c r="I602" s="7">
        <f t="shared" ref="I602" si="19">E602/0.6</f>
        <v>9.0000000000000018</v>
      </c>
      <c r="J602" s="22"/>
      <c r="K602" s="1">
        <v>1</v>
      </c>
      <c r="L602" s="1">
        <f>((Fórmulas!C$6/Fórmulas!D$6)/0.7)*K602</f>
        <v>2.4489795918367347</v>
      </c>
      <c r="M602" s="1">
        <f>L602*Fórmulas!D$6</f>
        <v>857.14285714285711</v>
      </c>
    </row>
    <row r="603" spans="1:13" x14ac:dyDescent="0.25">
      <c r="B603" s="26"/>
      <c r="C603" s="26"/>
      <c r="D603" s="26"/>
      <c r="E603">
        <v>0</v>
      </c>
      <c r="G603" s="1">
        <f>((Fórmulas!C$6/Fórmulas!D$6)/Fórmulas!E$6)*E603</f>
        <v>0</v>
      </c>
      <c r="H603" s="1">
        <f>G603*Fórmulas!B$9</f>
        <v>0</v>
      </c>
      <c r="I603" s="7">
        <f t="shared" si="18"/>
        <v>0</v>
      </c>
      <c r="K603" s="1">
        <v>1</v>
      </c>
      <c r="L603" s="1">
        <f>((Fórmulas!C$6/Fórmulas!D$6)/0.7)*K603</f>
        <v>2.4489795918367347</v>
      </c>
      <c r="M603" s="1">
        <f>L603*Fórmulas!D$6</f>
        <v>857.14285714285711</v>
      </c>
    </row>
    <row r="604" spans="1:13" x14ac:dyDescent="0.25">
      <c r="B604" s="26"/>
      <c r="C604" s="26"/>
      <c r="D604" s="26"/>
      <c r="E604">
        <v>0</v>
      </c>
      <c r="G604" s="1">
        <f>((Fórmulas!C$6/Fórmulas!D$6)/Fórmulas!E$6)*E604</f>
        <v>0</v>
      </c>
      <c r="H604" s="1">
        <f>G604*Fórmulas!B$9</f>
        <v>0</v>
      </c>
      <c r="I604" s="7">
        <f t="shared" si="18"/>
        <v>0</v>
      </c>
      <c r="K604" s="1">
        <v>1</v>
      </c>
      <c r="L604" s="1">
        <f>((Fórmulas!C$6/Fórmulas!D$6)/0.7)*K604</f>
        <v>2.4489795918367347</v>
      </c>
      <c r="M604" s="1">
        <f>L604*Fórmulas!D$6</f>
        <v>857.14285714285711</v>
      </c>
    </row>
    <row r="605" spans="1:13" x14ac:dyDescent="0.25">
      <c r="A605" t="s">
        <v>797</v>
      </c>
      <c r="B605" s="26" t="s">
        <v>671</v>
      </c>
      <c r="C605" s="26"/>
      <c r="D605" s="26"/>
      <c r="E605">
        <v>7</v>
      </c>
      <c r="G605" s="1">
        <f>((Fórmulas!C$6/Fórmulas!D$6)/Fórmulas!E$6)*E605</f>
        <v>17.142857142857142</v>
      </c>
      <c r="H605" s="1">
        <f>G605*Fórmulas!B$9</f>
        <v>6000</v>
      </c>
      <c r="I605" s="7">
        <f t="shared" si="18"/>
        <v>11.666666666666668</v>
      </c>
      <c r="K605" s="1">
        <v>1</v>
      </c>
      <c r="L605" s="1">
        <f>((Fórmulas!C$6/Fórmulas!D$6)/0.7)*K605</f>
        <v>2.4489795918367347</v>
      </c>
      <c r="M605" s="1">
        <f>L605*Fórmulas!D$6</f>
        <v>857.14285714285711</v>
      </c>
    </row>
    <row r="606" spans="1:13" x14ac:dyDescent="0.25">
      <c r="B606" s="26"/>
      <c r="C606" s="26"/>
      <c r="D606" s="26"/>
      <c r="E606">
        <v>0</v>
      </c>
      <c r="G606" s="1">
        <f>((Fórmulas!C$6/Fórmulas!D$6)/Fórmulas!E$6)*E606</f>
        <v>0</v>
      </c>
      <c r="H606" s="1">
        <f>G606*Fórmulas!B$9</f>
        <v>0</v>
      </c>
      <c r="I606" s="7">
        <f t="shared" si="18"/>
        <v>0</v>
      </c>
      <c r="K606" s="1">
        <v>1</v>
      </c>
      <c r="L606" s="1">
        <f>((Fórmulas!C$6/Fórmulas!D$6)/0.7)*K606</f>
        <v>2.4489795918367347</v>
      </c>
      <c r="M606" s="1">
        <f>L606*Fórmulas!D$6</f>
        <v>857.14285714285711</v>
      </c>
    </row>
    <row r="607" spans="1:13" x14ac:dyDescent="0.25">
      <c r="B607" s="26"/>
      <c r="C607" s="26"/>
      <c r="D607" s="26"/>
      <c r="E607">
        <v>0</v>
      </c>
      <c r="G607" s="1">
        <f>((Fórmulas!C$6/Fórmulas!D$6)/Fórmulas!E$6)*E607</f>
        <v>0</v>
      </c>
      <c r="H607" s="1">
        <f>G607*Fórmulas!B$9</f>
        <v>0</v>
      </c>
      <c r="I607" s="7">
        <f t="shared" si="18"/>
        <v>0</v>
      </c>
      <c r="K607" s="1">
        <v>1</v>
      </c>
      <c r="L607" s="1">
        <f>((Fórmulas!C$6/Fórmulas!D$6)/0.7)*K607</f>
        <v>2.4489795918367347</v>
      </c>
      <c r="M607" s="1">
        <f>L607*Fórmulas!D$6</f>
        <v>857.14285714285711</v>
      </c>
    </row>
    <row r="608" spans="1:13" x14ac:dyDescent="0.25">
      <c r="B608" s="26"/>
      <c r="C608" s="26"/>
      <c r="D608" s="26"/>
      <c r="E608">
        <v>0</v>
      </c>
      <c r="G608" s="1">
        <f>((Fórmulas!C$6/Fórmulas!D$6)/Fórmulas!E$6)*E608</f>
        <v>0</v>
      </c>
      <c r="H608" s="1">
        <f>G608*Fórmulas!B$9</f>
        <v>0</v>
      </c>
      <c r="I608" s="7">
        <f t="shared" si="18"/>
        <v>0</v>
      </c>
      <c r="K608" s="1">
        <v>1</v>
      </c>
      <c r="L608" s="1">
        <f>((Fórmulas!C$6/Fórmulas!D$6)/0.7)*K608</f>
        <v>2.4489795918367347</v>
      </c>
      <c r="M608" s="1">
        <f>L608*Fórmulas!D$6</f>
        <v>857.14285714285711</v>
      </c>
    </row>
    <row r="609" spans="1:13" x14ac:dyDescent="0.25">
      <c r="B609" s="26"/>
      <c r="C609" s="26"/>
      <c r="D609" s="26"/>
      <c r="E609">
        <v>0</v>
      </c>
      <c r="G609" s="1">
        <f>((Fórmulas!C$6/Fórmulas!D$6)/Fórmulas!E$6)*E609</f>
        <v>0</v>
      </c>
      <c r="H609" s="1">
        <f>G609*Fórmulas!B$9</f>
        <v>0</v>
      </c>
      <c r="I609" s="7">
        <f t="shared" si="18"/>
        <v>0</v>
      </c>
      <c r="K609" s="1">
        <v>1</v>
      </c>
      <c r="L609" s="1">
        <f>((Fórmulas!C$6/Fórmulas!D$6)/0.7)*K609</f>
        <v>2.4489795918367347</v>
      </c>
      <c r="M609" s="1">
        <f>L609*Fórmulas!D$6</f>
        <v>857.14285714285711</v>
      </c>
    </row>
    <row r="610" spans="1:13" x14ac:dyDescent="0.25">
      <c r="B610" s="26"/>
      <c r="C610" s="26"/>
      <c r="D610" s="26"/>
      <c r="E610">
        <v>0</v>
      </c>
      <c r="G610" s="1">
        <f>((Fórmulas!C$6/Fórmulas!D$6)/Fórmulas!E$6)*E610</f>
        <v>0</v>
      </c>
      <c r="H610" s="1">
        <f>G610*Fórmulas!B$9</f>
        <v>0</v>
      </c>
      <c r="I610" s="7">
        <f t="shared" si="18"/>
        <v>0</v>
      </c>
      <c r="K610" s="1">
        <v>1</v>
      </c>
      <c r="L610" s="1">
        <f>((Fórmulas!C$6/Fórmulas!D$6)/0.7)*K610</f>
        <v>2.4489795918367347</v>
      </c>
      <c r="M610" s="1">
        <f>L610*Fórmulas!D$6</f>
        <v>857.14285714285711</v>
      </c>
    </row>
    <row r="611" spans="1:13" x14ac:dyDescent="0.25">
      <c r="B611" s="26"/>
      <c r="C611" s="26"/>
      <c r="D611" s="26"/>
      <c r="E611">
        <v>0</v>
      </c>
      <c r="G611" s="1">
        <f>((Fórmulas!C$6/Fórmulas!D$6)/Fórmulas!E$6)*E611</f>
        <v>0</v>
      </c>
      <c r="H611" s="1">
        <f>G611*Fórmulas!B$9</f>
        <v>0</v>
      </c>
      <c r="I611" s="7">
        <f t="shared" si="18"/>
        <v>0</v>
      </c>
      <c r="K611" s="1">
        <v>1</v>
      </c>
      <c r="L611" s="1">
        <f>((Fórmulas!C$6/Fórmulas!D$6)/0.7)*K611</f>
        <v>2.4489795918367347</v>
      </c>
      <c r="M611" s="1">
        <f>L611*Fórmulas!D$6</f>
        <v>857.14285714285711</v>
      </c>
    </row>
    <row r="612" spans="1:13" x14ac:dyDescent="0.25">
      <c r="B612" s="26"/>
      <c r="C612" s="26"/>
      <c r="D612" s="26"/>
      <c r="E612">
        <v>0</v>
      </c>
      <c r="G612" s="1">
        <f>((Fórmulas!C$6/Fórmulas!D$6)/Fórmulas!E$6)*E612</f>
        <v>0</v>
      </c>
      <c r="H612" s="1">
        <f>G612*Fórmulas!B$9</f>
        <v>0</v>
      </c>
      <c r="I612" s="7">
        <f t="shared" si="18"/>
        <v>0</v>
      </c>
      <c r="K612" s="1">
        <v>1</v>
      </c>
      <c r="L612" s="1">
        <f>((Fórmulas!C$6/Fórmulas!D$6)/0.7)*K612</f>
        <v>2.4489795918367347</v>
      </c>
      <c r="M612" s="1">
        <f>L612*Fórmulas!D$6</f>
        <v>857.14285714285711</v>
      </c>
    </row>
    <row r="613" spans="1:13" x14ac:dyDescent="0.25">
      <c r="B613" s="26"/>
      <c r="C613" s="26"/>
      <c r="D613" s="26"/>
      <c r="E613" s="4">
        <v>0</v>
      </c>
      <c r="G613" s="1">
        <f>((Fórmulas!C$6/Fórmulas!D$6)/Fórmulas!E$6)*E613</f>
        <v>0</v>
      </c>
      <c r="H613" s="1">
        <f>G613*Fórmulas!B$9</f>
        <v>0</v>
      </c>
      <c r="I613" s="7">
        <f t="shared" si="18"/>
        <v>0</v>
      </c>
      <c r="J613" s="4"/>
      <c r="K613" s="1"/>
      <c r="L613" s="1"/>
      <c r="M613" s="1"/>
    </row>
    <row r="614" spans="1:13" x14ac:dyDescent="0.25">
      <c r="B614" s="26"/>
      <c r="C614" s="26"/>
      <c r="D614" s="26"/>
      <c r="E614" s="4"/>
      <c r="G614" s="1">
        <f>((Fórmulas!C$6/Fórmulas!D$6)/Fórmulas!E$6)*E614</f>
        <v>0</v>
      </c>
      <c r="H614" s="1">
        <f>G614*Fórmulas!B$9</f>
        <v>0</v>
      </c>
      <c r="I614" s="7">
        <f t="shared" si="18"/>
        <v>0</v>
      </c>
      <c r="J614" s="4"/>
      <c r="K614" s="1"/>
      <c r="L614" s="1"/>
      <c r="M614" s="1"/>
    </row>
    <row r="615" spans="1:13" x14ac:dyDescent="0.25">
      <c r="A615" s="4"/>
      <c r="B615" s="28" t="s">
        <v>321</v>
      </c>
      <c r="C615" s="28"/>
      <c r="D615" s="28"/>
      <c r="E615" s="4"/>
      <c r="G615" s="1">
        <f>((Fórmulas!C$6/Fórmulas!D$6)/Fórmulas!E$6)*E615</f>
        <v>0</v>
      </c>
      <c r="H615" s="1">
        <f>G615*Fórmulas!B$9</f>
        <v>0</v>
      </c>
      <c r="I615" s="7">
        <f t="shared" si="18"/>
        <v>0</v>
      </c>
      <c r="J615" s="4"/>
      <c r="K615" s="1"/>
      <c r="L615" s="1"/>
      <c r="M615" s="1"/>
    </row>
    <row r="616" spans="1:13" x14ac:dyDescent="0.25">
      <c r="A616" s="4" t="s">
        <v>902</v>
      </c>
      <c r="B616" s="27" t="s">
        <v>903</v>
      </c>
      <c r="C616" s="27"/>
      <c r="D616" s="27"/>
      <c r="E616" s="11">
        <v>8.1999999999999993</v>
      </c>
      <c r="G616" s="1">
        <f>((Fórmulas!C$6/Fórmulas!D$6)/Fórmulas!E$6)*E616</f>
        <v>20.081632653061224</v>
      </c>
      <c r="H616" s="1">
        <f>G616*Fórmulas!B$9</f>
        <v>7028.5714285714284</v>
      </c>
      <c r="I616" s="7">
        <f t="shared" si="18"/>
        <v>13.666666666666666</v>
      </c>
      <c r="J616" s="4"/>
      <c r="K616" s="1">
        <v>1</v>
      </c>
      <c r="L616" s="1">
        <f>((Fórmulas!C$6/Fórmulas!D$6)/0.7)*K616</f>
        <v>2.4489795918367347</v>
      </c>
      <c r="M616" s="1">
        <f>L616*Fórmulas!D$6</f>
        <v>857.14285714285711</v>
      </c>
    </row>
    <row r="617" spans="1:13" x14ac:dyDescent="0.25">
      <c r="A617" s="24" t="s">
        <v>902</v>
      </c>
      <c r="B617" s="27" t="s">
        <v>904</v>
      </c>
      <c r="C617" s="27"/>
      <c r="D617" s="27"/>
      <c r="E617" s="11">
        <v>8.1999999999999993</v>
      </c>
      <c r="G617" s="1">
        <f>((Fórmulas!C$6/Fórmulas!D$6)/Fórmulas!E$6)*E617</f>
        <v>20.081632653061224</v>
      </c>
      <c r="H617" s="1">
        <f>G617*Fórmulas!B$9</f>
        <v>7028.5714285714284</v>
      </c>
      <c r="I617" s="7">
        <f t="shared" si="18"/>
        <v>13.666666666666666</v>
      </c>
      <c r="J617" s="4"/>
      <c r="K617" s="1">
        <v>1</v>
      </c>
      <c r="L617" s="1">
        <f>((Fórmulas!C$6/Fórmulas!D$6)/0.7)*K617</f>
        <v>2.4489795918367347</v>
      </c>
      <c r="M617" s="1">
        <f>L617*Fórmulas!D$6</f>
        <v>857.14285714285711</v>
      </c>
    </row>
    <row r="618" spans="1:13" x14ac:dyDescent="0.25">
      <c r="A618" s="4"/>
      <c r="B618" s="27"/>
      <c r="C618" s="27"/>
      <c r="D618" s="27"/>
      <c r="E618" s="11">
        <v>0</v>
      </c>
      <c r="G618" s="1">
        <f>((Fórmulas!C$6/Fórmulas!D$6)/Fórmulas!E$6)*E618</f>
        <v>0</v>
      </c>
      <c r="H618" s="1">
        <f>G618*Fórmulas!B$9</f>
        <v>0</v>
      </c>
      <c r="I618" s="7">
        <f t="shared" si="18"/>
        <v>0</v>
      </c>
      <c r="J618" s="4"/>
      <c r="K618" s="1">
        <v>1</v>
      </c>
      <c r="L618" s="1">
        <f>((Fórmulas!C$6/Fórmulas!D$6)/0.7)*K618</f>
        <v>2.4489795918367347</v>
      </c>
      <c r="M618" s="1">
        <f>L618*Fórmulas!D$6</f>
        <v>857.14285714285711</v>
      </c>
    </row>
    <row r="619" spans="1:13" x14ac:dyDescent="0.25">
      <c r="A619" s="4"/>
      <c r="B619" s="27"/>
      <c r="C619" s="27"/>
      <c r="D619" s="27"/>
      <c r="E619" s="11">
        <v>0</v>
      </c>
      <c r="G619" s="1">
        <f>((Fórmulas!C$6/Fórmulas!D$6)/Fórmulas!E$6)*E619</f>
        <v>0</v>
      </c>
      <c r="H619" s="1">
        <f>G619*Fórmulas!B$9</f>
        <v>0</v>
      </c>
      <c r="I619" s="7">
        <f t="shared" si="18"/>
        <v>0</v>
      </c>
      <c r="J619" s="4"/>
      <c r="K619" s="1">
        <v>1</v>
      </c>
      <c r="L619" s="1">
        <f>((Fórmulas!C$6/Fórmulas!D$6)/0.7)*K619</f>
        <v>2.4489795918367347</v>
      </c>
      <c r="M619" s="1">
        <f>L619*Fórmulas!D$6</f>
        <v>857.14285714285711</v>
      </c>
    </row>
    <row r="620" spans="1:13" s="4" customFormat="1" x14ac:dyDescent="0.25">
      <c r="B620" s="27"/>
      <c r="C620" s="27"/>
      <c r="D620" s="27"/>
      <c r="E620" s="11">
        <v>0</v>
      </c>
      <c r="G620" s="1">
        <f>((Fórmulas!C$6/Fórmulas!D$6)/Fórmulas!E$6)*E620</f>
        <v>0</v>
      </c>
      <c r="H620" s="1">
        <f>G620*Fórmulas!B$9</f>
        <v>0</v>
      </c>
      <c r="I620" s="7">
        <f t="shared" si="18"/>
        <v>0</v>
      </c>
      <c r="K620" s="1">
        <v>1</v>
      </c>
      <c r="L620" s="1">
        <f>((Fórmulas!C$6/Fórmulas!D$6)/0.7)*K620</f>
        <v>2.4489795918367347</v>
      </c>
      <c r="M620" s="1">
        <f>L620*Fórmulas!D$6</f>
        <v>857.14285714285711</v>
      </c>
    </row>
    <row r="621" spans="1:13" s="4" customFormat="1" x14ac:dyDescent="0.25">
      <c r="B621" s="27"/>
      <c r="C621" s="27"/>
      <c r="D621" s="27"/>
      <c r="E621" s="11">
        <v>0</v>
      </c>
      <c r="G621" s="1">
        <f>((Fórmulas!C$6/Fórmulas!D$6)/Fórmulas!E$6)*E621</f>
        <v>0</v>
      </c>
      <c r="H621" s="1">
        <f>G621*Fórmulas!B$9</f>
        <v>0</v>
      </c>
      <c r="I621" s="7">
        <f t="shared" si="18"/>
        <v>0</v>
      </c>
      <c r="K621" s="1">
        <v>1</v>
      </c>
      <c r="L621" s="1">
        <f>((Fórmulas!C$6/Fórmulas!D$6)/0.7)*K621</f>
        <v>2.4489795918367347</v>
      </c>
      <c r="M621" s="1">
        <f>L621*Fórmulas!D$6</f>
        <v>857.14285714285711</v>
      </c>
    </row>
    <row r="622" spans="1:13" s="4" customFormat="1" x14ac:dyDescent="0.25">
      <c r="A622" s="11" t="s">
        <v>345</v>
      </c>
      <c r="B622" s="27" t="s">
        <v>910</v>
      </c>
      <c r="C622" s="27"/>
      <c r="D622" s="27"/>
      <c r="E622" s="11">
        <v>8</v>
      </c>
      <c r="G622" s="1">
        <f>((Fórmulas!C$6/Fórmulas!D$6)/Fórmulas!E$6)*E622</f>
        <v>19.591836734693878</v>
      </c>
      <c r="H622" s="1">
        <f>G622*Fórmulas!B$9</f>
        <v>6857.1428571428569</v>
      </c>
      <c r="I622" s="7">
        <f t="shared" si="18"/>
        <v>13.333333333333334</v>
      </c>
      <c r="K622" s="1">
        <v>1</v>
      </c>
      <c r="L622" s="1">
        <f>((Fórmulas!C$6/Fórmulas!D$6)/0.7)*K622</f>
        <v>2.4489795918367347</v>
      </c>
      <c r="M622" s="1">
        <f>L622*Fórmulas!D$6</f>
        <v>857.14285714285711</v>
      </c>
    </row>
    <row r="623" spans="1:13" x14ac:dyDescent="0.25">
      <c r="A623" s="11" t="s">
        <v>345</v>
      </c>
      <c r="B623" s="27" t="s">
        <v>911</v>
      </c>
      <c r="C623" s="27"/>
      <c r="D623" s="27"/>
      <c r="E623" s="11">
        <v>8</v>
      </c>
      <c r="G623" s="1">
        <f>((Fórmulas!C$6/Fórmulas!D$6)/Fórmulas!E$6)*E623</f>
        <v>19.591836734693878</v>
      </c>
      <c r="H623" s="1">
        <f>G623*Fórmulas!B$9</f>
        <v>6857.1428571428569</v>
      </c>
      <c r="I623" s="7">
        <f t="shared" si="18"/>
        <v>13.333333333333334</v>
      </c>
      <c r="J623" s="4"/>
      <c r="K623" s="1">
        <v>1</v>
      </c>
      <c r="L623" s="1">
        <f>((Fórmulas!C$6/Fórmulas!D$6)/0.7)*K623</f>
        <v>2.4489795918367347</v>
      </c>
      <c r="M623" s="1">
        <f>L623*Fórmulas!D$6</f>
        <v>857.14285714285711</v>
      </c>
    </row>
    <row r="624" spans="1:13" x14ac:dyDescent="0.25">
      <c r="A624" s="24" t="s">
        <v>345</v>
      </c>
      <c r="B624" s="27" t="s">
        <v>912</v>
      </c>
      <c r="C624" s="27"/>
      <c r="D624" s="27"/>
      <c r="E624" s="11">
        <v>9</v>
      </c>
      <c r="G624" s="1">
        <f>((Fórmulas!C$6/Fórmulas!D$6)/Fórmulas!E$6)*E624</f>
        <v>22.040816326530614</v>
      </c>
      <c r="H624" s="1">
        <f>G624*Fórmulas!B$9</f>
        <v>7714.2857142857147</v>
      </c>
      <c r="I624" s="7">
        <f t="shared" si="18"/>
        <v>15</v>
      </c>
      <c r="J624" s="4"/>
      <c r="K624" s="1">
        <v>1</v>
      </c>
      <c r="L624" s="1">
        <f>((Fórmulas!C$6/Fórmulas!D$6)/0.7)*K624</f>
        <v>2.4489795918367347</v>
      </c>
      <c r="M624" s="1">
        <f>L624*Fórmulas!D$6</f>
        <v>857.14285714285711</v>
      </c>
    </row>
    <row r="625" spans="1:13" x14ac:dyDescent="0.25">
      <c r="A625" s="11"/>
      <c r="B625" s="27"/>
      <c r="C625" s="27"/>
      <c r="D625" s="27"/>
      <c r="E625" s="11">
        <v>0</v>
      </c>
      <c r="G625" s="1">
        <f>((Fórmulas!C$6/Fórmulas!D$6)/Fórmulas!E$6)*E625</f>
        <v>0</v>
      </c>
      <c r="H625" s="1">
        <f>G625*Fórmulas!B$9</f>
        <v>0</v>
      </c>
      <c r="I625" s="7">
        <f t="shared" si="18"/>
        <v>0</v>
      </c>
      <c r="J625" s="4"/>
      <c r="K625" s="1">
        <v>1</v>
      </c>
      <c r="L625" s="1">
        <f>((Fórmulas!C$6/Fórmulas!D$6)/0.7)*K625</f>
        <v>2.4489795918367347</v>
      </c>
      <c r="M625" s="1">
        <f>L625*Fórmulas!D$6</f>
        <v>857.14285714285711</v>
      </c>
    </row>
    <row r="626" spans="1:13" x14ac:dyDescent="0.25">
      <c r="A626" s="11"/>
      <c r="B626" s="27"/>
      <c r="C626" s="27"/>
      <c r="D626" s="27"/>
      <c r="E626" s="11">
        <v>0</v>
      </c>
      <c r="G626" s="1">
        <f>((Fórmulas!C$6/Fórmulas!D$6)/Fórmulas!E$6)*E626</f>
        <v>0</v>
      </c>
      <c r="H626" s="1">
        <f>G626*Fórmulas!B$9</f>
        <v>0</v>
      </c>
      <c r="I626" s="7">
        <f t="shared" si="18"/>
        <v>0</v>
      </c>
      <c r="J626" s="4"/>
      <c r="K626" s="1">
        <v>1</v>
      </c>
      <c r="L626" s="1">
        <f>((Fórmulas!C$6/Fórmulas!D$6)/0.7)*K626</f>
        <v>2.4489795918367347</v>
      </c>
      <c r="M626" s="1">
        <f>L626*Fórmulas!D$6</f>
        <v>857.14285714285711</v>
      </c>
    </row>
    <row r="627" spans="1:13" x14ac:dyDescent="0.25">
      <c r="A627" s="11"/>
      <c r="B627" s="27"/>
      <c r="C627" s="27"/>
      <c r="D627" s="27"/>
      <c r="E627" s="11">
        <v>0</v>
      </c>
      <c r="G627" s="1">
        <f>((Fórmulas!C$6/Fórmulas!D$6)/Fórmulas!E$6)*E627</f>
        <v>0</v>
      </c>
      <c r="H627" s="1">
        <f>G627*Fórmulas!B$9</f>
        <v>0</v>
      </c>
      <c r="I627" s="7">
        <f t="shared" si="18"/>
        <v>0</v>
      </c>
      <c r="J627" s="4"/>
      <c r="K627" s="1">
        <v>1</v>
      </c>
      <c r="L627" s="1">
        <f>((Fórmulas!C$6/Fórmulas!D$6)/0.7)*K627</f>
        <v>2.4489795918367347</v>
      </c>
      <c r="M627" s="1">
        <f>L627*Fórmulas!D$6</f>
        <v>857.14285714285711</v>
      </c>
    </row>
    <row r="628" spans="1:13" x14ac:dyDescent="0.25">
      <c r="A628" s="4" t="s">
        <v>349</v>
      </c>
      <c r="B628" s="27" t="s">
        <v>350</v>
      </c>
      <c r="C628" s="27"/>
      <c r="D628" s="27"/>
      <c r="E628" s="11">
        <v>6</v>
      </c>
      <c r="G628" s="1">
        <f>((Fórmulas!C$6/Fórmulas!D$6)/Fórmulas!E$6)*E628</f>
        <v>14.693877551020408</v>
      </c>
      <c r="H628" s="1">
        <f>G628*Fórmulas!B$9</f>
        <v>5142.8571428571431</v>
      </c>
      <c r="I628" s="7">
        <f t="shared" si="18"/>
        <v>10</v>
      </c>
      <c r="J628" s="4"/>
      <c r="K628" s="1">
        <v>1</v>
      </c>
      <c r="L628" s="1">
        <f>((Fórmulas!C$6/Fórmulas!D$6)/0.7)*K628</f>
        <v>2.4489795918367347</v>
      </c>
      <c r="M628" s="1">
        <f>L628*Fórmulas!D$6</f>
        <v>857.14285714285711</v>
      </c>
    </row>
    <row r="629" spans="1:13" x14ac:dyDescent="0.25">
      <c r="A629" s="4"/>
      <c r="B629" s="27"/>
      <c r="C629" s="27"/>
      <c r="D629" s="27"/>
      <c r="E629" s="11">
        <v>0</v>
      </c>
      <c r="G629" s="1">
        <f>((Fórmulas!C$6/Fórmulas!D$6)/Fórmulas!E$6)*E629</f>
        <v>0</v>
      </c>
      <c r="H629" s="1">
        <f>G629*Fórmulas!B$9</f>
        <v>0</v>
      </c>
      <c r="I629" s="7">
        <f t="shared" si="18"/>
        <v>0</v>
      </c>
      <c r="J629" s="4"/>
      <c r="K629" s="1">
        <v>1</v>
      </c>
      <c r="L629" s="1">
        <f>((Fórmulas!C$6/Fórmulas!D$6)/0.7)*K629</f>
        <v>2.4489795918367347</v>
      </c>
      <c r="M629" s="1">
        <f>L629*Fórmulas!D$6</f>
        <v>857.14285714285711</v>
      </c>
    </row>
    <row r="630" spans="1:13" x14ac:dyDescent="0.25">
      <c r="A630" s="4"/>
      <c r="B630" s="27"/>
      <c r="C630" s="27"/>
      <c r="D630" s="27"/>
      <c r="E630" s="11">
        <v>0</v>
      </c>
      <c r="G630" s="1">
        <f>((Fórmulas!C$6/Fórmulas!D$6)/Fórmulas!E$6)*E630</f>
        <v>0</v>
      </c>
      <c r="H630" s="1">
        <f>G630*Fórmulas!B$9</f>
        <v>0</v>
      </c>
      <c r="I630" s="7">
        <f t="shared" si="18"/>
        <v>0</v>
      </c>
      <c r="J630" s="4"/>
      <c r="K630" s="1">
        <v>1</v>
      </c>
      <c r="L630" s="1">
        <f>((Fórmulas!C$6/Fórmulas!D$6)/0.7)*K630</f>
        <v>2.4489795918367347</v>
      </c>
      <c r="M630" s="1">
        <f>L630*Fórmulas!D$6</f>
        <v>857.14285714285711</v>
      </c>
    </row>
    <row r="631" spans="1:13" x14ac:dyDescent="0.25">
      <c r="A631" s="4"/>
      <c r="B631" s="27"/>
      <c r="C631" s="27"/>
      <c r="D631" s="27"/>
      <c r="E631" s="11">
        <v>0</v>
      </c>
      <c r="G631" s="1">
        <f>((Fórmulas!C$6/Fórmulas!D$6)/Fórmulas!E$6)*E631</f>
        <v>0</v>
      </c>
      <c r="H631" s="1">
        <f>G631*Fórmulas!B$9</f>
        <v>0</v>
      </c>
      <c r="I631" s="7">
        <f t="shared" si="18"/>
        <v>0</v>
      </c>
      <c r="J631" s="4"/>
      <c r="K631" s="1">
        <v>1</v>
      </c>
      <c r="L631" s="1">
        <f>((Fórmulas!C$6/Fórmulas!D$6)/0.7)*K631</f>
        <v>2.4489795918367347</v>
      </c>
      <c r="M631" s="1">
        <f>L631*Fórmulas!D$6</f>
        <v>857.14285714285711</v>
      </c>
    </row>
    <row r="632" spans="1:13" x14ac:dyDescent="0.25">
      <c r="A632" s="9"/>
      <c r="B632" s="27"/>
      <c r="C632" s="27"/>
      <c r="D632" s="27"/>
      <c r="E632" s="11">
        <v>0</v>
      </c>
      <c r="G632" s="1">
        <f>((Fórmulas!C$6/Fórmulas!D$6)/Fórmulas!E$6)*E632</f>
        <v>0</v>
      </c>
      <c r="H632" s="1">
        <f>G632*Fórmulas!B$9</f>
        <v>0</v>
      </c>
      <c r="I632" s="7">
        <f t="shared" si="18"/>
        <v>0</v>
      </c>
      <c r="J632" s="4"/>
      <c r="K632" s="1">
        <v>1</v>
      </c>
      <c r="L632" s="1">
        <f>((Fórmulas!C$6/Fórmulas!D$6)/0.7)*K632</f>
        <v>2.4489795918367347</v>
      </c>
      <c r="M632" s="1">
        <f>L632*Fórmulas!D$6</f>
        <v>857.14285714285711</v>
      </c>
    </row>
    <row r="633" spans="1:13" x14ac:dyDescent="0.25">
      <c r="A633" s="9" t="s">
        <v>602</v>
      </c>
      <c r="B633" s="27" t="s">
        <v>603</v>
      </c>
      <c r="C633" s="27"/>
      <c r="D633" s="27"/>
      <c r="E633" s="11">
        <v>9</v>
      </c>
      <c r="G633" s="1">
        <f>((Fórmulas!C$6/Fórmulas!D$6)/Fórmulas!E$6)*E633</f>
        <v>22.040816326530614</v>
      </c>
      <c r="H633" s="1">
        <f>G633*Fórmulas!B$9</f>
        <v>7714.2857142857147</v>
      </c>
      <c r="I633" s="7">
        <f t="shared" si="18"/>
        <v>15</v>
      </c>
      <c r="J633" s="4"/>
      <c r="K633" s="1">
        <v>1</v>
      </c>
      <c r="L633" s="1">
        <f>((Fórmulas!C$6/Fórmulas!D$6)/0.7)*K633</f>
        <v>2.4489795918367347</v>
      </c>
      <c r="M633" s="1">
        <f>L633*Fórmulas!D$6</f>
        <v>857.14285714285711</v>
      </c>
    </row>
    <row r="634" spans="1:13" x14ac:dyDescent="0.25">
      <c r="A634" s="11" t="s">
        <v>602</v>
      </c>
      <c r="B634" s="27" t="s">
        <v>604</v>
      </c>
      <c r="C634" s="27"/>
      <c r="D634" s="27"/>
      <c r="E634" s="11">
        <v>13</v>
      </c>
      <c r="G634" s="1">
        <f>((Fórmulas!C$6/Fórmulas!D$6)/Fórmulas!E$6)*E634</f>
        <v>31.836734693877553</v>
      </c>
      <c r="H634" s="1">
        <f>G634*Fórmulas!B$9</f>
        <v>11142.857142857143</v>
      </c>
      <c r="I634" s="7">
        <f t="shared" si="18"/>
        <v>21.666666666666668</v>
      </c>
      <c r="J634" s="4"/>
      <c r="K634" s="1">
        <v>1</v>
      </c>
      <c r="L634" s="1">
        <f>((Fórmulas!C$6/Fórmulas!D$6)/0.7)*K634</f>
        <v>2.4489795918367347</v>
      </c>
      <c r="M634" s="1">
        <f>L634*Fórmulas!D$6</f>
        <v>857.14285714285711</v>
      </c>
    </row>
    <row r="635" spans="1:13" x14ac:dyDescent="0.25">
      <c r="A635" s="11" t="s">
        <v>602</v>
      </c>
      <c r="B635" s="27" t="s">
        <v>605</v>
      </c>
      <c r="C635" s="27"/>
      <c r="D635" s="27"/>
      <c r="E635" s="11">
        <v>16</v>
      </c>
      <c r="G635" s="1">
        <f>((Fórmulas!C$6/Fórmulas!D$6)/Fórmulas!E$6)*E635</f>
        <v>39.183673469387756</v>
      </c>
      <c r="H635" s="1">
        <f>G635*Fórmulas!B$9</f>
        <v>13714.285714285714</v>
      </c>
      <c r="I635" s="7">
        <f t="shared" si="18"/>
        <v>26.666666666666668</v>
      </c>
      <c r="J635" s="4"/>
      <c r="K635" s="1">
        <v>1</v>
      </c>
      <c r="L635" s="1">
        <f>((Fórmulas!C$6/Fórmulas!D$6)/0.7)*K635</f>
        <v>2.4489795918367347</v>
      </c>
      <c r="M635" s="1">
        <f>L635*Fórmulas!D$6</f>
        <v>857.14285714285711</v>
      </c>
    </row>
    <row r="636" spans="1:13" x14ac:dyDescent="0.25">
      <c r="A636" s="11" t="s">
        <v>602</v>
      </c>
      <c r="B636" s="27" t="s">
        <v>606</v>
      </c>
      <c r="C636" s="27"/>
      <c r="D636" s="27"/>
      <c r="E636" s="11">
        <v>16</v>
      </c>
      <c r="G636" s="1">
        <f>((Fórmulas!C$6/Fórmulas!D$6)/Fórmulas!E$6)*E636</f>
        <v>39.183673469387756</v>
      </c>
      <c r="H636" s="1">
        <f>G636*Fórmulas!B$9</f>
        <v>13714.285714285714</v>
      </c>
      <c r="I636" s="7">
        <f t="shared" si="18"/>
        <v>26.666666666666668</v>
      </c>
      <c r="K636" s="1">
        <v>1</v>
      </c>
      <c r="L636" s="1">
        <f>((Fórmulas!C$6/Fórmulas!D$6)/0.7)*K636</f>
        <v>2.4489795918367347</v>
      </c>
      <c r="M636" s="1">
        <f>L636*Fórmulas!D$6</f>
        <v>857.14285714285711</v>
      </c>
    </row>
    <row r="637" spans="1:13" x14ac:dyDescent="0.25">
      <c r="A637" s="11" t="s">
        <v>602</v>
      </c>
      <c r="B637" s="27" t="s">
        <v>607</v>
      </c>
      <c r="C637" s="27"/>
      <c r="D637" s="27"/>
      <c r="E637" s="11">
        <v>16</v>
      </c>
      <c r="G637" s="1">
        <f>((Fórmulas!C$6/Fórmulas!D$6)/Fórmulas!E$6)*E637</f>
        <v>39.183673469387756</v>
      </c>
      <c r="H637" s="1">
        <f>G637*Fórmulas!B$9</f>
        <v>13714.285714285714</v>
      </c>
      <c r="I637" s="7">
        <f t="shared" si="18"/>
        <v>26.666666666666668</v>
      </c>
      <c r="K637" s="1">
        <v>1</v>
      </c>
      <c r="L637" s="1">
        <f>((Fórmulas!C$6/Fórmulas!D$6)/0.7)*K637</f>
        <v>2.4489795918367347</v>
      </c>
      <c r="M637" s="1">
        <f>L637*Fórmulas!D$6</f>
        <v>857.14285714285711</v>
      </c>
    </row>
    <row r="638" spans="1:13" s="9" customFormat="1" x14ac:dyDescent="0.25">
      <c r="A638" s="11" t="s">
        <v>602</v>
      </c>
      <c r="B638" s="27" t="s">
        <v>608</v>
      </c>
      <c r="C638" s="27"/>
      <c r="D638" s="27"/>
      <c r="E638" s="11">
        <v>20</v>
      </c>
      <c r="G638" s="1">
        <f>((Fórmulas!C$6/Fórmulas!D$6)/Fórmulas!E$6)*E638</f>
        <v>48.979591836734699</v>
      </c>
      <c r="H638" s="1">
        <f>G638*Fórmulas!B$9</f>
        <v>17142.857142857145</v>
      </c>
      <c r="I638" s="7">
        <f t="shared" si="18"/>
        <v>33.333333333333336</v>
      </c>
      <c r="K638" s="1">
        <v>1</v>
      </c>
      <c r="L638" s="1">
        <f>((Fórmulas!C$6/Fórmulas!D$6)/0.7)*K638</f>
        <v>2.4489795918367347</v>
      </c>
      <c r="M638" s="1">
        <f>L638*Fórmulas!D$6</f>
        <v>857.14285714285711</v>
      </c>
    </row>
    <row r="639" spans="1:13" s="9" customFormat="1" x14ac:dyDescent="0.25">
      <c r="A639" s="11" t="s">
        <v>602</v>
      </c>
      <c r="B639" s="27" t="s">
        <v>609</v>
      </c>
      <c r="C639" s="27"/>
      <c r="D639" s="27"/>
      <c r="E639" s="11">
        <v>16</v>
      </c>
      <c r="G639" s="1">
        <f>((Fórmulas!C$6/Fórmulas!D$6)/Fórmulas!E$6)*E639</f>
        <v>39.183673469387756</v>
      </c>
      <c r="H639" s="1">
        <f>G639*Fórmulas!B$9</f>
        <v>13714.285714285714</v>
      </c>
      <c r="I639" s="7">
        <f t="shared" si="18"/>
        <v>26.666666666666668</v>
      </c>
      <c r="K639" s="1">
        <v>1</v>
      </c>
      <c r="L639" s="1">
        <f>((Fórmulas!C$6/Fórmulas!D$6)/0.7)*K639</f>
        <v>2.4489795918367347</v>
      </c>
      <c r="M639" s="1">
        <f>L639*Fórmulas!D$6</f>
        <v>857.14285714285711</v>
      </c>
    </row>
    <row r="640" spans="1:13" s="9" customFormat="1" x14ac:dyDescent="0.25">
      <c r="B640" s="26"/>
      <c r="C640" s="26"/>
      <c r="D640" s="26"/>
      <c r="E640" s="11">
        <v>0</v>
      </c>
      <c r="G640" s="1">
        <f>((Fórmulas!C$6/Fórmulas!D$6)/Fórmulas!E$6)*E640</f>
        <v>0</v>
      </c>
      <c r="H640" s="1">
        <f>G640*Fórmulas!B$9</f>
        <v>0</v>
      </c>
      <c r="I640" s="7">
        <f t="shared" si="18"/>
        <v>0</v>
      </c>
      <c r="K640" s="1">
        <v>1</v>
      </c>
      <c r="L640" s="1">
        <f>((Fórmulas!C$6/Fórmulas!D$6)/0.7)*K640</f>
        <v>2.4489795918367347</v>
      </c>
      <c r="M640" s="1">
        <f>L640*Fórmulas!D$6</f>
        <v>857.14285714285711</v>
      </c>
    </row>
    <row r="641" spans="1:13" s="9" customFormat="1" x14ac:dyDescent="0.25">
      <c r="B641" s="26"/>
      <c r="C641" s="26"/>
      <c r="D641" s="26"/>
      <c r="E641" s="11">
        <v>0</v>
      </c>
      <c r="G641" s="1">
        <f>((Fórmulas!C$6/Fórmulas!D$6)/Fórmulas!E$6)*E641</f>
        <v>0</v>
      </c>
      <c r="H641" s="1">
        <f>G641*Fórmulas!B$9</f>
        <v>0</v>
      </c>
      <c r="I641" s="7">
        <f t="shared" si="18"/>
        <v>0</v>
      </c>
      <c r="K641" s="1">
        <v>1</v>
      </c>
      <c r="L641" s="1">
        <f>((Fórmulas!C$6/Fórmulas!D$6)/0.7)*K641</f>
        <v>2.4489795918367347</v>
      </c>
      <c r="M641" s="1">
        <f>L641*Fórmulas!D$6</f>
        <v>857.14285714285711</v>
      </c>
    </row>
    <row r="642" spans="1:13" s="9" customFormat="1" x14ac:dyDescent="0.25">
      <c r="A642" s="9" t="s">
        <v>367</v>
      </c>
      <c r="B642" s="27" t="s">
        <v>610</v>
      </c>
      <c r="C642" s="27"/>
      <c r="D642" s="27"/>
      <c r="E642" s="11">
        <v>5.35</v>
      </c>
      <c r="G642" s="1">
        <f>((Fórmulas!C$6/Fórmulas!D$6)/Fórmulas!E$6)*E642</f>
        <v>13.102040816326531</v>
      </c>
      <c r="H642" s="1">
        <f>G642*Fórmulas!B$9</f>
        <v>4585.7142857142853</v>
      </c>
      <c r="I642" s="7">
        <f t="shared" si="18"/>
        <v>8.9166666666666661</v>
      </c>
      <c r="K642" s="1">
        <v>1</v>
      </c>
      <c r="L642" s="1">
        <f>((Fórmulas!C$6/Fórmulas!D$6)/0.7)*K642</f>
        <v>2.4489795918367347</v>
      </c>
      <c r="M642" s="1">
        <f>L642*Fórmulas!D$6</f>
        <v>857.14285714285711</v>
      </c>
    </row>
    <row r="643" spans="1:13" s="9" customFormat="1" x14ac:dyDescent="0.25">
      <c r="A643" s="11" t="s">
        <v>367</v>
      </c>
      <c r="B643" s="27" t="s">
        <v>611</v>
      </c>
      <c r="C643" s="27"/>
      <c r="D643" s="27"/>
      <c r="E643" s="11">
        <v>6.55</v>
      </c>
      <c r="G643" s="1">
        <f>((Fórmulas!C$6/Fórmulas!D$6)/Fórmulas!E$6)*E643</f>
        <v>16.040816326530614</v>
      </c>
      <c r="H643" s="1">
        <f>G643*Fórmulas!B$9</f>
        <v>5614.2857142857147</v>
      </c>
      <c r="I643" s="7">
        <f t="shared" si="18"/>
        <v>10.916666666666666</v>
      </c>
      <c r="K643" s="1">
        <v>1</v>
      </c>
      <c r="L643" s="1">
        <f>((Fórmulas!C$6/Fórmulas!D$6)/0.7)*K643</f>
        <v>2.4489795918367347</v>
      </c>
      <c r="M643" s="1">
        <f>L643*Fórmulas!D$6</f>
        <v>857.14285714285711</v>
      </c>
    </row>
    <row r="644" spans="1:13" s="9" customFormat="1" x14ac:dyDescent="0.25">
      <c r="A644" s="11" t="s">
        <v>367</v>
      </c>
      <c r="B644" s="27" t="s">
        <v>613</v>
      </c>
      <c r="C644" s="27"/>
      <c r="D644" s="27"/>
      <c r="E644" s="11">
        <v>5.35</v>
      </c>
      <c r="G644" s="1">
        <f>((Fórmulas!C$6/Fórmulas!D$6)/Fórmulas!E$6)*E644</f>
        <v>13.102040816326531</v>
      </c>
      <c r="H644" s="1">
        <f>G644*Fórmulas!B$9</f>
        <v>4585.7142857142853</v>
      </c>
      <c r="I644" s="7">
        <f t="shared" si="18"/>
        <v>8.9166666666666661</v>
      </c>
      <c r="K644" s="1">
        <v>1</v>
      </c>
      <c r="L644" s="1">
        <f>((Fórmulas!C$6/Fórmulas!D$6)/0.7)*K644</f>
        <v>2.4489795918367347</v>
      </c>
      <c r="M644" s="1">
        <f>L644*Fórmulas!D$6</f>
        <v>857.14285714285711</v>
      </c>
    </row>
    <row r="645" spans="1:13" s="9" customFormat="1" x14ac:dyDescent="0.25">
      <c r="A645" s="11" t="s">
        <v>367</v>
      </c>
      <c r="B645" s="27" t="s">
        <v>612</v>
      </c>
      <c r="C645" s="27"/>
      <c r="D645" s="27"/>
      <c r="E645" s="11">
        <v>6.55</v>
      </c>
      <c r="G645" s="1">
        <f>((Fórmulas!C$6/Fórmulas!D$6)/Fórmulas!E$6)*E645</f>
        <v>16.040816326530614</v>
      </c>
      <c r="H645" s="1">
        <f>G645*Fórmulas!B$9</f>
        <v>5614.2857142857147</v>
      </c>
      <c r="I645" s="7">
        <f t="shared" si="18"/>
        <v>10.916666666666666</v>
      </c>
      <c r="K645" s="1">
        <v>1</v>
      </c>
      <c r="L645" s="1">
        <f>((Fórmulas!C$6/Fórmulas!D$6)/0.7)*K645</f>
        <v>2.4489795918367347</v>
      </c>
      <c r="M645" s="1">
        <f>L645*Fórmulas!D$6</f>
        <v>857.14285714285711</v>
      </c>
    </row>
    <row r="646" spans="1:13" s="9" customFormat="1" x14ac:dyDescent="0.25">
      <c r="A646" s="11" t="s">
        <v>367</v>
      </c>
      <c r="B646" s="27" t="s">
        <v>614</v>
      </c>
      <c r="C646" s="27"/>
      <c r="D646" s="27"/>
      <c r="E646" s="11">
        <v>6.55</v>
      </c>
      <c r="G646" s="1">
        <f>((Fórmulas!C$6/Fórmulas!D$6)/Fórmulas!E$6)*E646</f>
        <v>16.040816326530614</v>
      </c>
      <c r="H646" s="1">
        <f>G646*Fórmulas!B$9</f>
        <v>5614.2857142857147</v>
      </c>
      <c r="I646" s="7">
        <f t="shared" si="18"/>
        <v>10.916666666666666</v>
      </c>
      <c r="K646" s="1">
        <v>1</v>
      </c>
      <c r="L646" s="1">
        <f>((Fórmulas!C$6/Fórmulas!D$6)/0.7)*K646</f>
        <v>2.4489795918367347</v>
      </c>
      <c r="M646" s="1">
        <f>L646*Fórmulas!D$6</f>
        <v>857.14285714285711</v>
      </c>
    </row>
    <row r="647" spans="1:13" s="11" customFormat="1" x14ac:dyDescent="0.25">
      <c r="A647" s="11" t="s">
        <v>367</v>
      </c>
      <c r="B647" s="27" t="s">
        <v>615</v>
      </c>
      <c r="C647" s="27"/>
      <c r="D647" s="27"/>
      <c r="E647" s="11">
        <v>8.1999999999999993</v>
      </c>
      <c r="G647" s="1">
        <f>((Fórmulas!C$6/Fórmulas!D$6)/Fórmulas!E$6)*E647</f>
        <v>20.081632653061224</v>
      </c>
      <c r="H647" s="1">
        <f>G647*Fórmulas!B$9</f>
        <v>7028.5714285714284</v>
      </c>
      <c r="I647" s="7">
        <f t="shared" si="18"/>
        <v>13.666666666666666</v>
      </c>
      <c r="K647" s="1">
        <v>1</v>
      </c>
      <c r="L647" s="1">
        <f>((Fórmulas!C$6/Fórmulas!D$6)/0.7)*K647</f>
        <v>2.4489795918367347</v>
      </c>
      <c r="M647" s="1">
        <f>L647*Fórmulas!D$6</f>
        <v>857.14285714285711</v>
      </c>
    </row>
    <row r="648" spans="1:13" s="11" customFormat="1" x14ac:dyDescent="0.25">
      <c r="A648" s="11" t="s">
        <v>367</v>
      </c>
      <c r="B648" s="27" t="s">
        <v>616</v>
      </c>
      <c r="C648" s="27"/>
      <c r="D648" s="27"/>
      <c r="E648" s="11">
        <v>8.1999999999999993</v>
      </c>
      <c r="G648" s="1">
        <f>((Fórmulas!C$6/Fórmulas!D$6)/Fórmulas!E$6)*E648</f>
        <v>20.081632653061224</v>
      </c>
      <c r="H648" s="1">
        <f>G648*Fórmulas!B$9</f>
        <v>7028.5714285714284</v>
      </c>
      <c r="I648" s="7">
        <f t="shared" si="18"/>
        <v>13.666666666666666</v>
      </c>
      <c r="K648" s="1">
        <v>1</v>
      </c>
      <c r="L648" s="1">
        <f>((Fórmulas!C$6/Fórmulas!D$6)/0.7)*K648</f>
        <v>2.4489795918367347</v>
      </c>
      <c r="M648" s="1">
        <f>L648*Fórmulas!D$6</f>
        <v>857.14285714285711</v>
      </c>
    </row>
    <row r="649" spans="1:13" s="11" customFormat="1" x14ac:dyDescent="0.25">
      <c r="A649" s="11" t="s">
        <v>367</v>
      </c>
      <c r="B649" s="27" t="s">
        <v>617</v>
      </c>
      <c r="C649" s="27"/>
      <c r="D649" s="27"/>
      <c r="E649" s="11">
        <v>11</v>
      </c>
      <c r="G649" s="1">
        <f>((Fórmulas!C$6/Fórmulas!D$6)/Fórmulas!E$6)*E649</f>
        <v>26.938775510204081</v>
      </c>
      <c r="H649" s="1">
        <f>G649*Fórmulas!B$9</f>
        <v>9428.5714285714294</v>
      </c>
      <c r="I649" s="7">
        <f t="shared" si="18"/>
        <v>18.333333333333336</v>
      </c>
      <c r="K649" s="1">
        <v>1</v>
      </c>
      <c r="L649" s="1">
        <f>((Fórmulas!C$6/Fórmulas!D$6)/0.7)*K649</f>
        <v>2.4489795918367347</v>
      </c>
      <c r="M649" s="1">
        <f>L649*Fórmulas!D$6</f>
        <v>857.14285714285711</v>
      </c>
    </row>
    <row r="650" spans="1:13" s="11" customFormat="1" x14ac:dyDescent="0.25">
      <c r="A650" s="11" t="s">
        <v>367</v>
      </c>
      <c r="B650" s="27" t="s">
        <v>618</v>
      </c>
      <c r="C650" s="27"/>
      <c r="D650" s="27"/>
      <c r="E650" s="11">
        <v>8.1999999999999993</v>
      </c>
      <c r="G650" s="1">
        <f>((Fórmulas!C$6/Fórmulas!D$6)/Fórmulas!E$6)*E650</f>
        <v>20.081632653061224</v>
      </c>
      <c r="H650" s="1">
        <f>G650*Fórmulas!B$9</f>
        <v>7028.5714285714284</v>
      </c>
      <c r="I650" s="7">
        <f t="shared" si="18"/>
        <v>13.666666666666666</v>
      </c>
      <c r="K650" s="1">
        <v>1</v>
      </c>
      <c r="L650" s="1">
        <f>((Fórmulas!C$6/Fórmulas!D$6)/0.7)*K650</f>
        <v>2.4489795918367347</v>
      </c>
      <c r="M650" s="1">
        <f>L650*Fórmulas!D$6</f>
        <v>857.14285714285711</v>
      </c>
    </row>
    <row r="651" spans="1:13" s="11" customFormat="1" x14ac:dyDescent="0.25">
      <c r="A651" s="11" t="s">
        <v>367</v>
      </c>
      <c r="B651" s="27" t="s">
        <v>619</v>
      </c>
      <c r="C651" s="27"/>
      <c r="D651" s="27"/>
      <c r="E651" s="11">
        <v>13</v>
      </c>
      <c r="G651" s="1">
        <f>((Fórmulas!C$6/Fórmulas!D$6)/Fórmulas!E$6)*E651</f>
        <v>31.836734693877553</v>
      </c>
      <c r="H651" s="1">
        <f>G651*Fórmulas!B$9</f>
        <v>11142.857142857143</v>
      </c>
      <c r="I651" s="7">
        <f t="shared" si="18"/>
        <v>21.666666666666668</v>
      </c>
      <c r="K651" s="1">
        <v>1</v>
      </c>
      <c r="L651" s="1">
        <f>((Fórmulas!C$6/Fórmulas!D$6)/0.7)*K651</f>
        <v>2.4489795918367347</v>
      </c>
      <c r="M651" s="1">
        <f>L651*Fórmulas!D$6</f>
        <v>857.14285714285711</v>
      </c>
    </row>
    <row r="652" spans="1:13" s="11" customFormat="1" x14ac:dyDescent="0.25">
      <c r="A652" s="11" t="s">
        <v>367</v>
      </c>
      <c r="B652" s="27" t="s">
        <v>620</v>
      </c>
      <c r="C652" s="27"/>
      <c r="D652" s="27"/>
      <c r="E652" s="11">
        <v>5.35</v>
      </c>
      <c r="G652" s="1">
        <f>((Fórmulas!C$6/Fórmulas!D$6)/Fórmulas!E$6)*E652</f>
        <v>13.102040816326531</v>
      </c>
      <c r="H652" s="1">
        <f>G652*Fórmulas!B$9</f>
        <v>4585.7142857142853</v>
      </c>
      <c r="I652" s="7">
        <f t="shared" si="18"/>
        <v>8.9166666666666661</v>
      </c>
      <c r="K652" s="1">
        <v>1</v>
      </c>
      <c r="L652" s="1">
        <f>((Fórmulas!C$6/Fórmulas!D$6)/0.7)*K652</f>
        <v>2.4489795918367347</v>
      </c>
      <c r="M652" s="1">
        <f>L652*Fórmulas!D$6</f>
        <v>857.14285714285711</v>
      </c>
    </row>
    <row r="653" spans="1:13" x14ac:dyDescent="0.25">
      <c r="A653" s="11" t="s">
        <v>367</v>
      </c>
      <c r="B653" s="27" t="s">
        <v>621</v>
      </c>
      <c r="C653" s="27"/>
      <c r="D653" s="27"/>
      <c r="E653" s="11">
        <v>8.1999999999999993</v>
      </c>
      <c r="G653" s="1">
        <f>((Fórmulas!C$6/Fórmulas!D$6)/Fórmulas!E$6)*E653</f>
        <v>20.081632653061224</v>
      </c>
      <c r="H653" s="1">
        <f>G653*Fórmulas!B$9</f>
        <v>7028.5714285714284</v>
      </c>
      <c r="I653" s="7">
        <f t="shared" si="18"/>
        <v>13.666666666666666</v>
      </c>
      <c r="K653" s="1">
        <v>1</v>
      </c>
      <c r="L653" s="1">
        <f>((Fórmulas!C$6/Fórmulas!D$6)/0.7)*K653</f>
        <v>2.4489795918367347</v>
      </c>
      <c r="M653" s="1">
        <f>L653*Fórmulas!D$6</f>
        <v>857.14285714285711</v>
      </c>
    </row>
    <row r="654" spans="1:13" s="11" customFormat="1" x14ac:dyDescent="0.25">
      <c r="A654" s="11" t="s">
        <v>367</v>
      </c>
      <c r="B654" s="27" t="s">
        <v>622</v>
      </c>
      <c r="C654" s="27"/>
      <c r="D654" s="27"/>
      <c r="E654" s="11">
        <v>13</v>
      </c>
      <c r="G654" s="1">
        <f>((Fórmulas!C$6/Fórmulas!D$6)/Fórmulas!E$6)*E654</f>
        <v>31.836734693877553</v>
      </c>
      <c r="H654" s="1">
        <f>G654*Fórmulas!B$9</f>
        <v>11142.857142857143</v>
      </c>
      <c r="I654" s="7">
        <f t="shared" si="18"/>
        <v>21.666666666666668</v>
      </c>
      <c r="K654" s="1"/>
      <c r="L654" s="1"/>
      <c r="M654" s="1"/>
    </row>
    <row r="655" spans="1:13" s="11" customFormat="1" x14ac:dyDescent="0.25">
      <c r="B655" s="27"/>
      <c r="C655" s="27"/>
      <c r="D655" s="27"/>
      <c r="E655" s="11">
        <v>0</v>
      </c>
      <c r="G655" s="1">
        <f>((Fórmulas!C$6/Fórmulas!D$6)/Fórmulas!E$6)*E655</f>
        <v>0</v>
      </c>
      <c r="H655" s="1">
        <f>G655*Fórmulas!B$9</f>
        <v>0</v>
      </c>
      <c r="I655" s="7">
        <f t="shared" ref="I655:I718" si="20">E655/0.6</f>
        <v>0</v>
      </c>
      <c r="K655" s="1"/>
      <c r="L655" s="1"/>
      <c r="M655" s="1"/>
    </row>
    <row r="656" spans="1:13" s="11" customFormat="1" x14ac:dyDescent="0.25">
      <c r="B656" s="27"/>
      <c r="C656" s="27"/>
      <c r="D656" s="27"/>
      <c r="E656" s="11">
        <v>0</v>
      </c>
      <c r="G656" s="1">
        <f>((Fórmulas!C$6/Fórmulas!D$6)/Fórmulas!E$6)*E656</f>
        <v>0</v>
      </c>
      <c r="H656" s="1">
        <f>G656*Fórmulas!B$9</f>
        <v>0</v>
      </c>
      <c r="I656" s="7">
        <f t="shared" si="20"/>
        <v>0</v>
      </c>
      <c r="K656" s="1"/>
      <c r="L656" s="1"/>
      <c r="M656" s="1"/>
    </row>
    <row r="657" spans="1:13" s="11" customFormat="1" x14ac:dyDescent="0.25">
      <c r="B657" s="27"/>
      <c r="C657" s="27"/>
      <c r="D657" s="27"/>
      <c r="E657" s="11">
        <v>0</v>
      </c>
      <c r="G657" s="1">
        <f>((Fórmulas!C$6/Fórmulas!D$6)/Fórmulas!E$6)*E657</f>
        <v>0</v>
      </c>
      <c r="H657" s="1">
        <f>G657*Fórmulas!B$9</f>
        <v>0</v>
      </c>
      <c r="I657" s="7">
        <f t="shared" si="20"/>
        <v>0</v>
      </c>
      <c r="K657" s="1"/>
      <c r="L657" s="1"/>
      <c r="M657" s="1"/>
    </row>
    <row r="658" spans="1:13" s="11" customFormat="1" x14ac:dyDescent="0.25">
      <c r="B658" s="27"/>
      <c r="C658" s="27"/>
      <c r="D658" s="27"/>
      <c r="E658" s="11">
        <v>0</v>
      </c>
      <c r="G658" s="1">
        <f>((Fórmulas!C$6/Fórmulas!D$6)/Fórmulas!E$6)*E658</f>
        <v>0</v>
      </c>
      <c r="H658" s="1">
        <f>G658*Fórmulas!B$9</f>
        <v>0</v>
      </c>
      <c r="I658" s="7">
        <f t="shared" si="20"/>
        <v>0</v>
      </c>
      <c r="K658" s="1"/>
      <c r="L658" s="1"/>
      <c r="M658" s="1"/>
    </row>
    <row r="659" spans="1:13" s="11" customFormat="1" x14ac:dyDescent="0.25">
      <c r="B659" s="27"/>
      <c r="C659" s="27"/>
      <c r="D659" s="27"/>
      <c r="E659" s="11">
        <v>0</v>
      </c>
      <c r="G659" s="1">
        <f>((Fórmulas!C$6/Fórmulas!D$6)/Fórmulas!E$6)*E659</f>
        <v>0</v>
      </c>
      <c r="H659" s="1">
        <f>G659*Fórmulas!B$9</f>
        <v>0</v>
      </c>
      <c r="I659" s="7">
        <f t="shared" si="20"/>
        <v>0</v>
      </c>
      <c r="K659" s="1"/>
      <c r="L659" s="1"/>
      <c r="M659" s="1"/>
    </row>
    <row r="660" spans="1:13" s="11" customFormat="1" x14ac:dyDescent="0.25">
      <c r="A660" s="11" t="s">
        <v>367</v>
      </c>
      <c r="B660" s="27" t="s">
        <v>623</v>
      </c>
      <c r="C660" s="27"/>
      <c r="D660" s="27"/>
      <c r="E660" s="11">
        <v>3.3</v>
      </c>
      <c r="G660" s="1">
        <f>((Fórmulas!C$6/Fórmulas!D$6)/Fórmulas!E$6)*E660</f>
        <v>8.0816326530612237</v>
      </c>
      <c r="H660" s="1">
        <f>G660*Fórmulas!B$9</f>
        <v>2828.5714285714284</v>
      </c>
      <c r="I660" s="7">
        <f t="shared" si="20"/>
        <v>5.5</v>
      </c>
      <c r="K660" s="1"/>
      <c r="L660" s="1"/>
      <c r="M660" s="1"/>
    </row>
    <row r="661" spans="1:13" s="11" customFormat="1" x14ac:dyDescent="0.25">
      <c r="A661" s="11" t="s">
        <v>367</v>
      </c>
      <c r="B661" s="27" t="s">
        <v>629</v>
      </c>
      <c r="C661" s="27"/>
      <c r="D661" s="27"/>
      <c r="E661" s="11">
        <v>6.2</v>
      </c>
      <c r="G661" s="1">
        <f>((Fórmulas!C$6/Fórmulas!D$6)/Fórmulas!E$6)*E661</f>
        <v>15.183673469387756</v>
      </c>
      <c r="H661" s="1">
        <f>G661*Fórmulas!B$9</f>
        <v>5314.2857142857147</v>
      </c>
      <c r="I661" s="7">
        <f t="shared" si="20"/>
        <v>10.333333333333334</v>
      </c>
      <c r="K661" s="1"/>
      <c r="L661" s="1"/>
      <c r="M661" s="1"/>
    </row>
    <row r="662" spans="1:13" s="11" customFormat="1" x14ac:dyDescent="0.25">
      <c r="A662" s="11" t="s">
        <v>367</v>
      </c>
      <c r="B662" s="27" t="s">
        <v>624</v>
      </c>
      <c r="C662" s="27"/>
      <c r="D662" s="27"/>
      <c r="E662" s="11">
        <v>5.35</v>
      </c>
      <c r="G662" s="1">
        <f>((Fórmulas!C$6/Fórmulas!D$6)/Fórmulas!E$6)*E662</f>
        <v>13.102040816326531</v>
      </c>
      <c r="H662" s="1">
        <f>G662*Fórmulas!B$9</f>
        <v>4585.7142857142853</v>
      </c>
      <c r="I662" s="7">
        <f t="shared" si="20"/>
        <v>8.9166666666666661</v>
      </c>
      <c r="K662" s="1"/>
      <c r="L662" s="1"/>
      <c r="M662" s="1"/>
    </row>
    <row r="663" spans="1:13" s="11" customFormat="1" x14ac:dyDescent="0.25">
      <c r="A663" s="11" t="s">
        <v>367</v>
      </c>
      <c r="B663" s="27" t="s">
        <v>625</v>
      </c>
      <c r="C663" s="27"/>
      <c r="D663" s="27"/>
      <c r="E663" s="11">
        <v>6.2</v>
      </c>
      <c r="G663" s="1">
        <f>((Fórmulas!C$6/Fórmulas!D$6)/Fórmulas!E$6)*E663</f>
        <v>15.183673469387756</v>
      </c>
      <c r="H663" s="1">
        <f>G663*Fórmulas!B$9</f>
        <v>5314.2857142857147</v>
      </c>
      <c r="I663" s="7">
        <f t="shared" si="20"/>
        <v>10.333333333333334</v>
      </c>
      <c r="K663" s="1"/>
      <c r="L663" s="1"/>
      <c r="M663" s="1"/>
    </row>
    <row r="664" spans="1:13" s="11" customFormat="1" x14ac:dyDescent="0.25">
      <c r="A664" s="11" t="s">
        <v>367</v>
      </c>
      <c r="B664" s="27" t="s">
        <v>626</v>
      </c>
      <c r="C664" s="27"/>
      <c r="D664" s="27"/>
      <c r="E664" s="11">
        <v>6.6</v>
      </c>
      <c r="G664" s="1">
        <f>((Fórmulas!C$6/Fórmulas!D$6)/Fórmulas!E$6)*E664</f>
        <v>16.163265306122447</v>
      </c>
      <c r="H664" s="1">
        <f>G664*Fórmulas!B$9</f>
        <v>5657.1428571428569</v>
      </c>
      <c r="I664" s="7">
        <f t="shared" si="20"/>
        <v>11</v>
      </c>
      <c r="K664" s="1"/>
      <c r="L664" s="1"/>
      <c r="M664" s="1"/>
    </row>
    <row r="665" spans="1:13" s="11" customFormat="1" x14ac:dyDescent="0.25">
      <c r="A665" s="11" t="s">
        <v>367</v>
      </c>
      <c r="B665" s="27" t="s">
        <v>627</v>
      </c>
      <c r="C665" s="27"/>
      <c r="D665" s="27"/>
      <c r="E665" s="11">
        <v>4.2</v>
      </c>
      <c r="G665" s="1">
        <f>((Fórmulas!C$6/Fórmulas!D$6)/Fórmulas!E$6)*E665</f>
        <v>10.285714285714286</v>
      </c>
      <c r="H665" s="1">
        <f>G665*Fórmulas!B$9</f>
        <v>3600.0000000000005</v>
      </c>
      <c r="I665" s="7">
        <f t="shared" si="20"/>
        <v>7.0000000000000009</v>
      </c>
      <c r="K665" s="1"/>
      <c r="L665" s="1"/>
      <c r="M665" s="1"/>
    </row>
    <row r="666" spans="1:13" s="11" customFormat="1" x14ac:dyDescent="0.25">
      <c r="A666" s="11" t="s">
        <v>367</v>
      </c>
      <c r="B666" s="27" t="s">
        <v>628</v>
      </c>
      <c r="C666" s="27"/>
      <c r="D666" s="27"/>
      <c r="E666" s="11">
        <v>5</v>
      </c>
      <c r="G666" s="1">
        <f>((Fórmulas!C$6/Fórmulas!D$6)/Fórmulas!E$6)*E666</f>
        <v>12.244897959183675</v>
      </c>
      <c r="H666" s="1">
        <f>G666*Fórmulas!B$9</f>
        <v>4285.7142857142862</v>
      </c>
      <c r="I666" s="7">
        <f t="shared" si="20"/>
        <v>8.3333333333333339</v>
      </c>
      <c r="K666" s="1"/>
      <c r="L666" s="1"/>
      <c r="M666" s="1"/>
    </row>
    <row r="667" spans="1:13" s="11" customFormat="1" x14ac:dyDescent="0.25">
      <c r="A667" s="11" t="s">
        <v>367</v>
      </c>
      <c r="B667" s="27" t="s">
        <v>630</v>
      </c>
      <c r="C667" s="27"/>
      <c r="D667" s="27"/>
      <c r="E667" s="11">
        <v>6.2</v>
      </c>
      <c r="G667" s="1">
        <f>((Fórmulas!C$6/Fórmulas!D$6)/Fórmulas!E$6)*E667</f>
        <v>15.183673469387756</v>
      </c>
      <c r="H667" s="1">
        <f>G667*Fórmulas!B$9</f>
        <v>5314.2857142857147</v>
      </c>
      <c r="I667" s="7">
        <f t="shared" si="20"/>
        <v>10.333333333333334</v>
      </c>
      <c r="K667" s="1"/>
      <c r="L667" s="1"/>
      <c r="M667" s="1"/>
    </row>
    <row r="668" spans="1:13" s="11" customFormat="1" x14ac:dyDescent="0.25">
      <c r="B668" s="27"/>
      <c r="C668" s="27"/>
      <c r="D668" s="27"/>
      <c r="E668" s="11">
        <v>0</v>
      </c>
      <c r="G668" s="1">
        <f>((Fórmulas!C$6/Fórmulas!D$6)/Fórmulas!E$6)*E668</f>
        <v>0</v>
      </c>
      <c r="H668" s="1">
        <f>G668*Fórmulas!B$9</f>
        <v>0</v>
      </c>
      <c r="I668" s="7">
        <f t="shared" si="20"/>
        <v>0</v>
      </c>
      <c r="K668" s="1"/>
      <c r="L668" s="1"/>
      <c r="M668" s="1"/>
    </row>
    <row r="669" spans="1:13" x14ac:dyDescent="0.25">
      <c r="A669" s="11"/>
      <c r="B669" s="26"/>
      <c r="C669" s="26"/>
      <c r="D669" s="26"/>
      <c r="E669" s="11">
        <v>0</v>
      </c>
      <c r="F669" s="11"/>
      <c r="G669" s="1">
        <f>((Fórmulas!C$6/Fórmulas!D$6)/Fórmulas!E$6)*E669</f>
        <v>0</v>
      </c>
      <c r="H669" s="1">
        <f>G669*Fórmulas!B$9</f>
        <v>0</v>
      </c>
      <c r="I669" s="7">
        <f t="shared" si="20"/>
        <v>0</v>
      </c>
      <c r="J669" s="11"/>
      <c r="K669" s="1">
        <v>1</v>
      </c>
      <c r="L669" s="1">
        <f>((Fórmulas!C$6/Fórmulas!D$6)/0.7)*K669</f>
        <v>2.4489795918367347</v>
      </c>
      <c r="M669" s="1">
        <f>L669*Fórmulas!D$6</f>
        <v>857.14285714285711</v>
      </c>
    </row>
    <row r="670" spans="1:13" x14ac:dyDescent="0.25">
      <c r="A670" s="11"/>
      <c r="B670" s="26"/>
      <c r="C670" s="26"/>
      <c r="D670" s="26"/>
      <c r="E670" s="11">
        <v>0</v>
      </c>
      <c r="F670" s="11"/>
      <c r="G670" s="1">
        <f>((Fórmulas!C$6/Fórmulas!D$6)/Fórmulas!E$6)*E670</f>
        <v>0</v>
      </c>
      <c r="H670" s="1">
        <f>G670*Fórmulas!B$9</f>
        <v>0</v>
      </c>
      <c r="I670" s="7">
        <f t="shared" si="20"/>
        <v>0</v>
      </c>
      <c r="J670" s="11"/>
      <c r="K670" s="1">
        <v>1</v>
      </c>
      <c r="L670" s="1">
        <f>((Fórmulas!C$6/Fórmulas!D$6)/0.7)*K670</f>
        <v>2.4489795918367347</v>
      </c>
      <c r="M670" s="1">
        <f>L670*Fórmulas!D$6</f>
        <v>857.14285714285711</v>
      </c>
    </row>
    <row r="671" spans="1:13" s="9" customFormat="1" x14ac:dyDescent="0.25">
      <c r="A671" s="11"/>
      <c r="B671" s="26"/>
      <c r="C671" s="26"/>
      <c r="D671" s="26"/>
      <c r="E671" s="11">
        <v>0</v>
      </c>
      <c r="F671" s="11"/>
      <c r="G671" s="1">
        <f>((Fórmulas!C$6/Fórmulas!D$6)/Fórmulas!E$6)*E671</f>
        <v>0</v>
      </c>
      <c r="H671" s="1">
        <f>G671*Fórmulas!B$9</f>
        <v>0</v>
      </c>
      <c r="I671" s="7">
        <f t="shared" si="20"/>
        <v>0</v>
      </c>
      <c r="J671" s="11"/>
      <c r="K671" s="1">
        <v>1</v>
      </c>
      <c r="L671" s="1">
        <f>((Fórmulas!C$6/Fórmulas!D$6)/0.7)*K671</f>
        <v>2.4489795918367347</v>
      </c>
      <c r="M671" s="1">
        <f>L671*Fórmulas!D$6</f>
        <v>857.14285714285711</v>
      </c>
    </row>
    <row r="672" spans="1:13" s="9" customFormat="1" x14ac:dyDescent="0.25">
      <c r="A672" s="11" t="s">
        <v>463</v>
      </c>
      <c r="B672" s="27" t="s">
        <v>468</v>
      </c>
      <c r="C672" s="27"/>
      <c r="D672" s="27"/>
      <c r="E672" s="11">
        <v>6</v>
      </c>
      <c r="F672" s="11"/>
      <c r="G672" s="1">
        <f>((Fórmulas!C$6/Fórmulas!D$6)/Fórmulas!E$6)*E672</f>
        <v>14.693877551020408</v>
      </c>
      <c r="H672" s="1">
        <f>G672*Fórmulas!B$9</f>
        <v>5142.8571428571431</v>
      </c>
      <c r="I672" s="7">
        <f t="shared" si="20"/>
        <v>10</v>
      </c>
      <c r="K672" s="1">
        <v>1</v>
      </c>
      <c r="L672" s="1">
        <f>((Fórmulas!C$6/Fórmulas!D$6)/0.7)*K672</f>
        <v>2.4489795918367347</v>
      </c>
      <c r="M672" s="1">
        <f>L672*Fórmulas!D$6</f>
        <v>857.14285714285711</v>
      </c>
    </row>
    <row r="673" spans="1:13" s="9" customFormat="1" x14ac:dyDescent="0.25">
      <c r="A673" s="11" t="s">
        <v>463</v>
      </c>
      <c r="B673" s="26" t="s">
        <v>467</v>
      </c>
      <c r="C673" s="26"/>
      <c r="D673" s="26"/>
      <c r="E673" s="11">
        <v>6.4</v>
      </c>
      <c r="G673" s="1">
        <f>((Fórmulas!C$6/Fórmulas!D$6)/Fórmulas!E$6)*E673</f>
        <v>15.673469387755103</v>
      </c>
      <c r="H673" s="1">
        <f>G673*Fórmulas!B$9</f>
        <v>5485.7142857142862</v>
      </c>
      <c r="I673" s="7">
        <f t="shared" si="20"/>
        <v>10.666666666666668</v>
      </c>
      <c r="K673" s="1">
        <v>1</v>
      </c>
      <c r="L673" s="1">
        <f>((Fórmulas!C$6/Fórmulas!D$6)/0.7)*K673</f>
        <v>2.4489795918367347</v>
      </c>
      <c r="M673" s="1">
        <f>L673*Fórmulas!D$6</f>
        <v>857.14285714285711</v>
      </c>
    </row>
    <row r="674" spans="1:13" s="9" customFormat="1" x14ac:dyDescent="0.25">
      <c r="A674" s="11" t="s">
        <v>463</v>
      </c>
      <c r="B674" s="26" t="s">
        <v>466</v>
      </c>
      <c r="C674" s="26"/>
      <c r="D674" s="26"/>
      <c r="E674" s="11">
        <v>4</v>
      </c>
      <c r="G674" s="1">
        <f>((Fórmulas!C$6/Fórmulas!D$6)/Fórmulas!E$6)*E674</f>
        <v>9.795918367346939</v>
      </c>
      <c r="H674" s="1">
        <f>G674*Fórmulas!B$9</f>
        <v>3428.5714285714284</v>
      </c>
      <c r="I674" s="7">
        <f t="shared" si="20"/>
        <v>6.666666666666667</v>
      </c>
      <c r="K674" s="1">
        <v>1</v>
      </c>
      <c r="L674" s="1">
        <f>((Fórmulas!C$6/Fórmulas!D$6)/0.7)*K674</f>
        <v>2.4489795918367347</v>
      </c>
      <c r="M674" s="1">
        <f>L674*Fórmulas!D$6</f>
        <v>857.14285714285711</v>
      </c>
    </row>
    <row r="675" spans="1:13" s="9" customFormat="1" x14ac:dyDescent="0.25">
      <c r="A675" s="11" t="s">
        <v>463</v>
      </c>
      <c r="B675" s="25" t="s">
        <v>471</v>
      </c>
      <c r="C675" s="25"/>
      <c r="D675" s="25"/>
      <c r="E675" s="11">
        <v>8</v>
      </c>
      <c r="G675" s="1">
        <f>((Fórmulas!C$6/Fórmulas!D$6)/Fórmulas!E$6)*E675</f>
        <v>19.591836734693878</v>
      </c>
      <c r="H675" s="1">
        <f>G675*Fórmulas!B$9</f>
        <v>6857.1428571428569</v>
      </c>
      <c r="I675" s="7">
        <f t="shared" si="20"/>
        <v>13.333333333333334</v>
      </c>
      <c r="K675" s="1">
        <v>1</v>
      </c>
      <c r="L675" s="1">
        <f>((Fórmulas!C$6/Fórmulas!D$6)/0.7)*K675</f>
        <v>2.4489795918367347</v>
      </c>
      <c r="M675" s="1">
        <f>L675*Fórmulas!D$6</f>
        <v>857.14285714285711</v>
      </c>
    </row>
    <row r="676" spans="1:13" s="9" customFormat="1" x14ac:dyDescent="0.25">
      <c r="A676" s="11" t="s">
        <v>463</v>
      </c>
      <c r="B676" s="26" t="s">
        <v>465</v>
      </c>
      <c r="C676" s="26"/>
      <c r="D676" s="26"/>
      <c r="E676" s="11">
        <v>6.4</v>
      </c>
      <c r="G676" s="1">
        <f>((Fórmulas!C$6/Fórmulas!D$6)/Fórmulas!E$6)*E676</f>
        <v>15.673469387755103</v>
      </c>
      <c r="H676" s="1">
        <f>G676*Fórmulas!B$9</f>
        <v>5485.7142857142862</v>
      </c>
      <c r="I676" s="7">
        <f t="shared" si="20"/>
        <v>10.666666666666668</v>
      </c>
      <c r="K676" s="1">
        <v>1</v>
      </c>
      <c r="L676" s="1">
        <f>((Fórmulas!C$6/Fórmulas!D$6)/0.7)*K676</f>
        <v>2.4489795918367347</v>
      </c>
      <c r="M676" s="1">
        <f>L676*Fórmulas!D$6</f>
        <v>857.14285714285711</v>
      </c>
    </row>
    <row r="677" spans="1:13" s="9" customFormat="1" x14ac:dyDescent="0.25">
      <c r="A677" s="11" t="s">
        <v>463</v>
      </c>
      <c r="B677" s="25" t="s">
        <v>464</v>
      </c>
      <c r="C677" s="25"/>
      <c r="D677" s="25"/>
      <c r="E677" s="11">
        <v>4</v>
      </c>
      <c r="G677" s="1">
        <f>((Fórmulas!C$6/Fórmulas!D$6)/Fórmulas!E$6)*E677</f>
        <v>9.795918367346939</v>
      </c>
      <c r="H677" s="1">
        <f>G677*Fórmulas!B$9</f>
        <v>3428.5714285714284</v>
      </c>
      <c r="I677" s="7">
        <f t="shared" si="20"/>
        <v>6.666666666666667</v>
      </c>
      <c r="K677" s="1">
        <v>1</v>
      </c>
      <c r="L677" s="1">
        <f>((Fórmulas!C$6/Fórmulas!D$6)/0.7)*K677</f>
        <v>2.4489795918367347</v>
      </c>
      <c r="M677" s="1">
        <f>L677*Fórmulas!D$6</f>
        <v>857.14285714285711</v>
      </c>
    </row>
    <row r="678" spans="1:13" s="9" customFormat="1" x14ac:dyDescent="0.25">
      <c r="A678" s="11" t="s">
        <v>463</v>
      </c>
      <c r="B678" s="25" t="s">
        <v>470</v>
      </c>
      <c r="C678" s="25"/>
      <c r="D678" s="25"/>
      <c r="E678" s="11">
        <v>8</v>
      </c>
      <c r="G678" s="1">
        <f>((Fórmulas!C$6/Fórmulas!D$6)/Fórmulas!E$6)*E678</f>
        <v>19.591836734693878</v>
      </c>
      <c r="H678" s="1">
        <f>G678*Fórmulas!B$9</f>
        <v>6857.1428571428569</v>
      </c>
      <c r="I678" s="7">
        <f t="shared" si="20"/>
        <v>13.333333333333334</v>
      </c>
      <c r="K678" s="1">
        <v>1</v>
      </c>
      <c r="L678" s="1">
        <f>((Fórmulas!C$6/Fórmulas!D$6)/0.7)*K678</f>
        <v>2.4489795918367347</v>
      </c>
      <c r="M678" s="1">
        <f>L678*Fórmulas!D$6</f>
        <v>857.14285714285711</v>
      </c>
    </row>
    <row r="679" spans="1:13" s="9" customFormat="1" x14ac:dyDescent="0.25">
      <c r="A679" s="11" t="s">
        <v>463</v>
      </c>
      <c r="B679" s="25" t="s">
        <v>469</v>
      </c>
      <c r="C679" s="25"/>
      <c r="D679" s="25"/>
      <c r="E679" s="11">
        <v>8</v>
      </c>
      <c r="G679" s="1">
        <f>((Fórmulas!C$6/Fórmulas!D$6)/Fórmulas!E$6)*E679</f>
        <v>19.591836734693878</v>
      </c>
      <c r="H679" s="1">
        <f>G679*Fórmulas!B$9</f>
        <v>6857.1428571428569</v>
      </c>
      <c r="I679" s="7">
        <f t="shared" si="20"/>
        <v>13.333333333333334</v>
      </c>
      <c r="K679" s="1">
        <v>1</v>
      </c>
      <c r="L679" s="1">
        <f>((Fórmulas!C$6/Fórmulas!D$6)/0.7)*K679</f>
        <v>2.4489795918367347</v>
      </c>
      <c r="M679" s="1">
        <f>L679*Fórmulas!D$6</f>
        <v>857.14285714285711</v>
      </c>
    </row>
    <row r="680" spans="1:13" s="9" customFormat="1" x14ac:dyDescent="0.25">
      <c r="A680" s="11" t="s">
        <v>463</v>
      </c>
      <c r="B680" s="25" t="s">
        <v>472</v>
      </c>
      <c r="C680" s="25"/>
      <c r="D680" s="25"/>
      <c r="E680" s="11">
        <v>9.1999999999999993</v>
      </c>
      <c r="G680" s="1">
        <f>((Fórmulas!C$6/Fórmulas!D$6)/Fórmulas!E$6)*E680</f>
        <v>22.530612244897959</v>
      </c>
      <c r="H680" s="1">
        <f>G680*Fórmulas!B$9</f>
        <v>7885.7142857142853</v>
      </c>
      <c r="I680" s="7">
        <f t="shared" si="20"/>
        <v>15.333333333333332</v>
      </c>
      <c r="K680" s="1">
        <v>1</v>
      </c>
      <c r="L680" s="1">
        <f>((Fórmulas!C$6/Fórmulas!D$6)/0.7)*K680</f>
        <v>2.4489795918367347</v>
      </c>
      <c r="M680" s="1">
        <f>L680*Fórmulas!D$6</f>
        <v>857.14285714285711</v>
      </c>
    </row>
    <row r="681" spans="1:13" s="9" customFormat="1" x14ac:dyDescent="0.25">
      <c r="A681" s="11" t="s">
        <v>463</v>
      </c>
      <c r="B681" s="25" t="s">
        <v>473</v>
      </c>
      <c r="C681" s="25"/>
      <c r="D681" s="25"/>
      <c r="E681" s="11">
        <v>8</v>
      </c>
      <c r="G681" s="1">
        <f>((Fórmulas!C$6/Fórmulas!D$6)/Fórmulas!E$6)*E681</f>
        <v>19.591836734693878</v>
      </c>
      <c r="H681" s="1">
        <f>G681*Fórmulas!B$9</f>
        <v>6857.1428571428569</v>
      </c>
      <c r="I681" s="7">
        <f t="shared" si="20"/>
        <v>13.333333333333334</v>
      </c>
      <c r="K681" s="1">
        <v>1</v>
      </c>
      <c r="L681" s="1">
        <f>((Fórmulas!C$6/Fórmulas!D$6)/0.7)*K681</f>
        <v>2.4489795918367347</v>
      </c>
      <c r="M681" s="1">
        <f>L681*Fórmulas!D$6</f>
        <v>857.14285714285711</v>
      </c>
    </row>
    <row r="682" spans="1:13" x14ac:dyDescent="0.25">
      <c r="A682" s="11" t="s">
        <v>463</v>
      </c>
      <c r="B682" s="25" t="s">
        <v>474</v>
      </c>
      <c r="C682" s="25"/>
      <c r="D682" s="25"/>
      <c r="E682" s="11">
        <v>8</v>
      </c>
      <c r="G682" s="1">
        <f>((Fórmulas!C$6/Fórmulas!D$6)/Fórmulas!E$6)*E682</f>
        <v>19.591836734693878</v>
      </c>
      <c r="H682" s="1">
        <f>G682*Fórmulas!B$9</f>
        <v>6857.1428571428569</v>
      </c>
      <c r="I682" s="7">
        <f t="shared" si="20"/>
        <v>13.333333333333334</v>
      </c>
      <c r="K682" s="1">
        <v>1</v>
      </c>
      <c r="L682" s="1">
        <f>((Fórmulas!C$6/Fórmulas!D$6)/0.7)*K682</f>
        <v>2.4489795918367347</v>
      </c>
      <c r="M682" s="1">
        <f>L682*Fórmulas!D$6</f>
        <v>857.14285714285711</v>
      </c>
    </row>
    <row r="683" spans="1:13" x14ac:dyDescent="0.25">
      <c r="A683" s="11"/>
      <c r="B683" s="26"/>
      <c r="C683" s="26"/>
      <c r="D683" s="26"/>
      <c r="E683" s="11">
        <v>0</v>
      </c>
      <c r="G683" s="1">
        <f>((Fórmulas!C$6/Fórmulas!D$6)/Fórmulas!E$6)*E683</f>
        <v>0</v>
      </c>
      <c r="H683" s="1">
        <f>G683*Fórmulas!B$9</f>
        <v>0</v>
      </c>
      <c r="I683" s="7">
        <f t="shared" si="20"/>
        <v>0</v>
      </c>
      <c r="K683" s="1">
        <v>1</v>
      </c>
      <c r="L683" s="1">
        <f>((Fórmulas!C$6/Fórmulas!D$6)/0.7)*K683</f>
        <v>2.4489795918367347</v>
      </c>
      <c r="M683" s="1">
        <f>L683*Fórmulas!D$6</f>
        <v>857.14285714285711</v>
      </c>
    </row>
    <row r="684" spans="1:13" x14ac:dyDescent="0.25">
      <c r="A684" s="11"/>
      <c r="B684" s="26"/>
      <c r="C684" s="26"/>
      <c r="D684" s="26"/>
      <c r="E684" s="11">
        <v>0</v>
      </c>
      <c r="G684" s="1">
        <f>((Fórmulas!C$6/Fórmulas!D$6)/Fórmulas!E$6)*E684</f>
        <v>0</v>
      </c>
      <c r="H684" s="1">
        <f>G684*Fórmulas!B$9</f>
        <v>0</v>
      </c>
      <c r="I684" s="7">
        <f t="shared" si="20"/>
        <v>0</v>
      </c>
      <c r="K684" s="1">
        <v>1</v>
      </c>
      <c r="L684" s="1">
        <f>((Fórmulas!C$6/Fórmulas!D$6)/0.7)*K684</f>
        <v>2.4489795918367347</v>
      </c>
      <c r="M684" s="1">
        <f>L684*Fórmulas!D$6</f>
        <v>857.14285714285711</v>
      </c>
    </row>
    <row r="685" spans="1:13" x14ac:dyDescent="0.25">
      <c r="A685" s="11" t="s">
        <v>400</v>
      </c>
      <c r="B685" s="26" t="s">
        <v>694</v>
      </c>
      <c r="C685" s="26"/>
      <c r="D685" s="26"/>
      <c r="E685" s="11">
        <v>6.2</v>
      </c>
      <c r="G685" s="1">
        <f>((Fórmulas!C$6/Fórmulas!D$6)/Fórmulas!E$6)*E685</f>
        <v>15.183673469387756</v>
      </c>
      <c r="H685" s="1">
        <f>G685*Fórmulas!B$9</f>
        <v>5314.2857142857147</v>
      </c>
      <c r="I685" s="7">
        <f t="shared" si="20"/>
        <v>10.333333333333334</v>
      </c>
      <c r="K685" s="1">
        <v>1</v>
      </c>
      <c r="L685" s="1">
        <f>((Fórmulas!C$6/Fórmulas!D$6)/0.7)*K685</f>
        <v>2.4489795918367347</v>
      </c>
      <c r="M685" s="1">
        <f>L685*Fórmulas!D$6</f>
        <v>857.14285714285711</v>
      </c>
    </row>
    <row r="686" spans="1:13" x14ac:dyDescent="0.25">
      <c r="A686" s="21" t="s">
        <v>400</v>
      </c>
      <c r="B686" s="25" t="s">
        <v>701</v>
      </c>
      <c r="C686" s="25"/>
      <c r="D686" s="25"/>
      <c r="E686" s="11">
        <v>4.5</v>
      </c>
      <c r="G686" s="1">
        <f>((Fórmulas!C$6/Fórmulas!D$6)/Fórmulas!E$6)*E686</f>
        <v>11.020408163265307</v>
      </c>
      <c r="H686" s="1">
        <f>G686*Fórmulas!B$9</f>
        <v>3857.1428571428573</v>
      </c>
      <c r="I686" s="7">
        <f t="shared" si="20"/>
        <v>7.5</v>
      </c>
      <c r="K686" s="1">
        <v>1</v>
      </c>
      <c r="L686" s="1">
        <f>((Fórmulas!C$6/Fórmulas!D$6)/0.7)*K686</f>
        <v>2.4489795918367347</v>
      </c>
      <c r="M686" s="1">
        <f>L686*Fórmulas!D$6</f>
        <v>857.14285714285711</v>
      </c>
    </row>
    <row r="687" spans="1:13" x14ac:dyDescent="0.25">
      <c r="A687" s="21" t="s">
        <v>400</v>
      </c>
      <c r="B687" s="25" t="s">
        <v>702</v>
      </c>
      <c r="C687" s="25"/>
      <c r="D687" s="25"/>
      <c r="E687" s="11">
        <v>4.5</v>
      </c>
      <c r="G687" s="1">
        <f>((Fórmulas!C$6/Fórmulas!D$6)/Fórmulas!E$6)*E687</f>
        <v>11.020408163265307</v>
      </c>
      <c r="H687" s="1">
        <f>G687*Fórmulas!B$9</f>
        <v>3857.1428571428573</v>
      </c>
      <c r="I687" s="7">
        <f t="shared" si="20"/>
        <v>7.5</v>
      </c>
      <c r="K687" s="1">
        <v>1</v>
      </c>
      <c r="L687" s="1">
        <f>((Fórmulas!C$6/Fórmulas!D$6)/0.7)*K687</f>
        <v>2.4489795918367347</v>
      </c>
      <c r="M687" s="1">
        <f>L687*Fórmulas!D$6</f>
        <v>857.14285714285711</v>
      </c>
    </row>
    <row r="688" spans="1:13" x14ac:dyDescent="0.25">
      <c r="A688" s="21" t="s">
        <v>400</v>
      </c>
      <c r="B688" s="25" t="s">
        <v>703</v>
      </c>
      <c r="C688" s="25"/>
      <c r="D688" s="25"/>
      <c r="E688" s="11">
        <v>5.35</v>
      </c>
      <c r="G688" s="1">
        <f>((Fórmulas!C$6/Fórmulas!D$6)/Fórmulas!E$6)*E688</f>
        <v>13.102040816326531</v>
      </c>
      <c r="H688" s="1">
        <f>G688*Fórmulas!B$9</f>
        <v>4585.7142857142853</v>
      </c>
      <c r="I688" s="7">
        <f t="shared" si="20"/>
        <v>8.9166666666666661</v>
      </c>
      <c r="K688" s="1">
        <v>1</v>
      </c>
      <c r="L688" s="1">
        <f>((Fórmulas!C$6/Fórmulas!D$6)/0.7)*K688</f>
        <v>2.4489795918367347</v>
      </c>
      <c r="M688" s="1">
        <f>L688*Fórmulas!D$6</f>
        <v>857.14285714285711</v>
      </c>
    </row>
    <row r="689" spans="1:13" s="21" customFormat="1" x14ac:dyDescent="0.25">
      <c r="A689" s="21" t="s">
        <v>400</v>
      </c>
      <c r="B689" s="25" t="s">
        <v>704</v>
      </c>
      <c r="C689" s="25"/>
      <c r="D689" s="25"/>
      <c r="E689" s="21">
        <v>6.6</v>
      </c>
      <c r="G689" s="1">
        <f>((Fórmulas!C$6/Fórmulas!D$6)/Fórmulas!E$6)*E689</f>
        <v>16.163265306122447</v>
      </c>
      <c r="H689" s="1">
        <f>G689*Fórmulas!B$9</f>
        <v>5657.1428571428569</v>
      </c>
      <c r="I689" s="7">
        <f t="shared" si="20"/>
        <v>11</v>
      </c>
      <c r="K689" s="1">
        <v>1</v>
      </c>
      <c r="L689" s="1">
        <f>((Fórmulas!C$6/Fórmulas!D$6)/0.7)*K689</f>
        <v>2.4489795918367347</v>
      </c>
      <c r="M689" s="1">
        <f>L689*Fórmulas!D$6</f>
        <v>857.14285714285711</v>
      </c>
    </row>
    <row r="690" spans="1:13" s="21" customFormat="1" x14ac:dyDescent="0.25">
      <c r="A690" s="21" t="s">
        <v>400</v>
      </c>
      <c r="B690" s="25" t="s">
        <v>705</v>
      </c>
      <c r="C690" s="25"/>
      <c r="D690" s="25"/>
      <c r="E690" s="21">
        <v>6.6</v>
      </c>
      <c r="G690" s="1">
        <f>((Fórmulas!C$6/Fórmulas!D$6)/Fórmulas!E$6)*E690</f>
        <v>16.163265306122447</v>
      </c>
      <c r="H690" s="1">
        <f>G690*Fórmulas!B$9</f>
        <v>5657.1428571428569</v>
      </c>
      <c r="I690" s="7">
        <f t="shared" si="20"/>
        <v>11</v>
      </c>
      <c r="K690" s="1">
        <v>1</v>
      </c>
      <c r="L690" s="1">
        <f>((Fórmulas!C$6/Fórmulas!D$6)/0.7)*K690</f>
        <v>2.4489795918367347</v>
      </c>
      <c r="M690" s="1">
        <f>L690*Fórmulas!D$6</f>
        <v>857.14285714285711</v>
      </c>
    </row>
    <row r="691" spans="1:13" s="21" customFormat="1" x14ac:dyDescent="0.25">
      <c r="A691" s="21" t="s">
        <v>400</v>
      </c>
      <c r="B691" s="25" t="s">
        <v>706</v>
      </c>
      <c r="C691" s="25"/>
      <c r="D691" s="25"/>
      <c r="E691" s="21">
        <v>6.6</v>
      </c>
      <c r="G691" s="1">
        <f>((Fórmulas!C$6/Fórmulas!D$6)/Fórmulas!E$6)*E691</f>
        <v>16.163265306122447</v>
      </c>
      <c r="H691" s="1">
        <f>G691*Fórmulas!B$9</f>
        <v>5657.1428571428569</v>
      </c>
      <c r="I691" s="7">
        <f t="shared" si="20"/>
        <v>11</v>
      </c>
      <c r="K691" s="1">
        <v>1</v>
      </c>
      <c r="L691" s="1">
        <f>((Fórmulas!C$6/Fórmulas!D$6)/0.7)*K691</f>
        <v>2.4489795918367347</v>
      </c>
      <c r="M691" s="1">
        <f>L691*Fórmulas!D$6</f>
        <v>857.14285714285711</v>
      </c>
    </row>
    <row r="692" spans="1:13" s="21" customFormat="1" x14ac:dyDescent="0.25">
      <c r="A692" s="21" t="s">
        <v>400</v>
      </c>
      <c r="B692" s="25" t="s">
        <v>707</v>
      </c>
      <c r="C692" s="25"/>
      <c r="D692" s="25"/>
      <c r="E692" s="21">
        <v>5.35</v>
      </c>
      <c r="G692" s="1">
        <f>((Fórmulas!C$6/Fórmulas!D$6)/Fórmulas!E$6)*E692</f>
        <v>13.102040816326531</v>
      </c>
      <c r="H692" s="1">
        <f>G692*Fórmulas!B$9</f>
        <v>4585.7142857142853</v>
      </c>
      <c r="I692" s="7">
        <f t="shared" si="20"/>
        <v>8.9166666666666661</v>
      </c>
      <c r="K692" s="1">
        <v>1</v>
      </c>
      <c r="L692" s="1">
        <f>((Fórmulas!C$6/Fórmulas!D$6)/0.7)*K692</f>
        <v>2.4489795918367347</v>
      </c>
      <c r="M692" s="1">
        <f>L692*Fórmulas!D$6</f>
        <v>857.14285714285711</v>
      </c>
    </row>
    <row r="693" spans="1:13" s="21" customFormat="1" x14ac:dyDescent="0.25">
      <c r="A693" s="21" t="s">
        <v>400</v>
      </c>
      <c r="B693" s="25" t="s">
        <v>708</v>
      </c>
      <c r="C693" s="25"/>
      <c r="D693" s="25"/>
      <c r="E693" s="21">
        <v>6.2</v>
      </c>
      <c r="G693" s="1">
        <f>((Fórmulas!C$6/Fórmulas!D$6)/Fórmulas!E$6)*E693</f>
        <v>15.183673469387756</v>
      </c>
      <c r="H693" s="1">
        <f>G693*Fórmulas!B$9</f>
        <v>5314.2857142857147</v>
      </c>
      <c r="I693" s="7">
        <f t="shared" si="20"/>
        <v>10.333333333333334</v>
      </c>
      <c r="K693" s="1">
        <v>1</v>
      </c>
      <c r="L693" s="1">
        <f>((Fórmulas!C$6/Fórmulas!D$6)/0.7)*K693</f>
        <v>2.4489795918367347</v>
      </c>
      <c r="M693" s="1">
        <f>L693*Fórmulas!D$6</f>
        <v>857.14285714285711</v>
      </c>
    </row>
    <row r="694" spans="1:13" s="21" customFormat="1" x14ac:dyDescent="0.25">
      <c r="B694" s="26"/>
      <c r="C694" s="26"/>
      <c r="D694" s="26"/>
      <c r="E694" s="21">
        <v>0</v>
      </c>
      <c r="G694" s="1">
        <f>((Fórmulas!C$6/Fórmulas!D$6)/Fórmulas!E$6)*E694</f>
        <v>0</v>
      </c>
      <c r="H694" s="1">
        <f>G694*Fórmulas!B$9</f>
        <v>0</v>
      </c>
      <c r="I694" s="7">
        <f t="shared" si="20"/>
        <v>0</v>
      </c>
      <c r="K694" s="1">
        <v>1</v>
      </c>
      <c r="L694" s="1">
        <f>((Fórmulas!C$6/Fórmulas!D$6)/0.7)*K694</f>
        <v>2.4489795918367347</v>
      </c>
      <c r="M694" s="1">
        <f>L694*Fórmulas!D$6</f>
        <v>857.14285714285711</v>
      </c>
    </row>
    <row r="695" spans="1:13" s="21" customFormat="1" x14ac:dyDescent="0.25">
      <c r="B695" s="26"/>
      <c r="C695" s="26"/>
      <c r="D695" s="26"/>
      <c r="E695" s="21">
        <v>0</v>
      </c>
      <c r="G695" s="1">
        <f>((Fórmulas!C$6/Fórmulas!D$6)/Fórmulas!E$6)*E695</f>
        <v>0</v>
      </c>
      <c r="H695" s="1">
        <f>G695*Fórmulas!B$9</f>
        <v>0</v>
      </c>
      <c r="I695" s="7">
        <f t="shared" si="20"/>
        <v>0</v>
      </c>
      <c r="K695" s="1">
        <v>1</v>
      </c>
      <c r="L695" s="1">
        <f>((Fórmulas!C$6/Fórmulas!D$6)/0.7)*K695</f>
        <v>2.4489795918367347</v>
      </c>
      <c r="M695" s="1">
        <f>L695*Fórmulas!D$6</f>
        <v>857.14285714285711</v>
      </c>
    </row>
    <row r="696" spans="1:13" s="21" customFormat="1" x14ac:dyDescent="0.25">
      <c r="B696" s="26"/>
      <c r="C696" s="26"/>
      <c r="D696" s="26"/>
      <c r="E696" s="21">
        <v>0</v>
      </c>
      <c r="G696" s="1">
        <f>((Fórmulas!C$6/Fórmulas!D$6)/Fórmulas!E$6)*E696</f>
        <v>0</v>
      </c>
      <c r="H696" s="1">
        <f>G696*Fórmulas!B$9</f>
        <v>0</v>
      </c>
      <c r="I696" s="7">
        <f t="shared" si="20"/>
        <v>0</v>
      </c>
      <c r="K696" s="1">
        <v>1</v>
      </c>
      <c r="L696" s="1">
        <f>((Fórmulas!C$6/Fórmulas!D$6)/0.7)*K696</f>
        <v>2.4489795918367347</v>
      </c>
      <c r="M696" s="1">
        <f>L696*Fórmulas!D$6</f>
        <v>857.14285714285711</v>
      </c>
    </row>
    <row r="697" spans="1:13" x14ac:dyDescent="0.25">
      <c r="A697" s="11"/>
      <c r="B697" s="26"/>
      <c r="C697" s="26"/>
      <c r="D697" s="26"/>
      <c r="E697" s="11">
        <v>0</v>
      </c>
      <c r="G697" s="1">
        <f>((Fórmulas!C$6/Fórmulas!D$6)/Fórmulas!E$6)*E697</f>
        <v>0</v>
      </c>
      <c r="H697" s="1">
        <f>G697*Fórmulas!B$9</f>
        <v>0</v>
      </c>
      <c r="I697" s="7">
        <f t="shared" si="20"/>
        <v>0</v>
      </c>
      <c r="K697" s="1">
        <v>1</v>
      </c>
      <c r="L697" s="1">
        <f>((Fórmulas!C$6/Fórmulas!D$6)/0.7)*K697</f>
        <v>2.4489795918367347</v>
      </c>
      <c r="M697" s="1">
        <f>L697*Fórmulas!D$6</f>
        <v>857.14285714285711</v>
      </c>
    </row>
    <row r="698" spans="1:13" x14ac:dyDescent="0.25">
      <c r="A698" s="11" t="s">
        <v>438</v>
      </c>
      <c r="B698" s="26" t="s">
        <v>439</v>
      </c>
      <c r="C698" s="26"/>
      <c r="D698" s="26"/>
      <c r="E698" s="11">
        <v>0</v>
      </c>
      <c r="G698" s="1">
        <f>((Fórmulas!C$6/Fórmulas!D$6)/Fórmulas!E$6)*E698</f>
        <v>0</v>
      </c>
      <c r="H698" s="1">
        <f>G698*Fórmulas!B$9</f>
        <v>0</v>
      </c>
      <c r="I698" s="7">
        <f t="shared" si="20"/>
        <v>0</v>
      </c>
      <c r="K698" s="1">
        <v>1</v>
      </c>
      <c r="L698" s="1">
        <f>((Fórmulas!C$6/Fórmulas!D$6)/0.7)*K698</f>
        <v>2.4489795918367347</v>
      </c>
      <c r="M698" s="1">
        <f>L698*Fórmulas!D$6</f>
        <v>857.14285714285711</v>
      </c>
    </row>
    <row r="699" spans="1:13" x14ac:dyDescent="0.25">
      <c r="A699" s="11"/>
      <c r="B699" s="26"/>
      <c r="C699" s="26"/>
      <c r="D699" s="26"/>
      <c r="E699" s="11">
        <v>0</v>
      </c>
      <c r="G699" s="1">
        <f>((Fórmulas!C$6/Fórmulas!D$6)/Fórmulas!E$6)*E699</f>
        <v>0</v>
      </c>
      <c r="H699" s="1">
        <f>G699*Fórmulas!B$9</f>
        <v>0</v>
      </c>
      <c r="I699" s="7">
        <f t="shared" si="20"/>
        <v>0</v>
      </c>
      <c r="J699" s="4"/>
      <c r="K699" s="1"/>
      <c r="L699" s="1"/>
      <c r="M699" s="1"/>
    </row>
    <row r="700" spans="1:13" x14ac:dyDescent="0.25">
      <c r="A700" s="11"/>
      <c r="B700" s="26"/>
      <c r="C700" s="26"/>
      <c r="D700" s="26"/>
      <c r="E700" s="11">
        <v>0</v>
      </c>
      <c r="G700" s="1">
        <f>((Fórmulas!C$6/Fórmulas!D$6)/Fórmulas!E$6)*E700</f>
        <v>0</v>
      </c>
      <c r="H700" s="1">
        <f>G700*Fórmulas!B$9</f>
        <v>0</v>
      </c>
      <c r="I700" s="7">
        <f t="shared" si="20"/>
        <v>0</v>
      </c>
      <c r="K700" s="1">
        <v>1</v>
      </c>
      <c r="L700" s="1">
        <f>((Fórmulas!C$6/Fórmulas!D$6)/0.7)*K700</f>
        <v>2.4489795918367347</v>
      </c>
      <c r="M700" s="1">
        <f>L700*Fórmulas!D$6</f>
        <v>857.14285714285711</v>
      </c>
    </row>
    <row r="701" spans="1:13" x14ac:dyDescent="0.25">
      <c r="A701" s="11"/>
      <c r="B701" s="26"/>
      <c r="C701" s="26"/>
      <c r="D701" s="26"/>
      <c r="E701" s="11"/>
      <c r="G701" s="1">
        <f>((Fórmulas!C$6/Fórmulas!D$6)/Fórmulas!E$6)*E701</f>
        <v>0</v>
      </c>
      <c r="H701" s="1">
        <f>G701*Fórmulas!B$9</f>
        <v>0</v>
      </c>
      <c r="I701" s="7">
        <f t="shared" si="20"/>
        <v>0</v>
      </c>
      <c r="J701" s="4"/>
      <c r="K701" s="1">
        <v>1</v>
      </c>
      <c r="L701" s="1">
        <f>((Fórmulas!C$6/Fórmulas!D$6)/0.7)*K701</f>
        <v>2.4489795918367347</v>
      </c>
      <c r="M701" s="1">
        <f>L701*Fórmulas!D$6</f>
        <v>857.14285714285711</v>
      </c>
    </row>
    <row r="702" spans="1:13" x14ac:dyDescent="0.25">
      <c r="A702" s="11"/>
      <c r="B702" s="28" t="s">
        <v>383</v>
      </c>
      <c r="C702" s="28"/>
      <c r="D702" s="28"/>
      <c r="E702" s="11">
        <v>0</v>
      </c>
      <c r="G702" s="1">
        <f>((Fórmulas!C$6/Fórmulas!D$6)/Fórmulas!E$6)*E702</f>
        <v>0</v>
      </c>
      <c r="H702" s="1">
        <f>G702*Fórmulas!B$9</f>
        <v>0</v>
      </c>
      <c r="I702" s="7">
        <f t="shared" si="20"/>
        <v>0</v>
      </c>
      <c r="K702" s="1">
        <v>1</v>
      </c>
      <c r="L702" s="1">
        <f>((Fórmulas!C$6/Fórmulas!D$6)/0.7)*K702</f>
        <v>2.4489795918367347</v>
      </c>
      <c r="M702" s="1">
        <f>L702*Fórmulas!D$6</f>
        <v>857.14285714285711</v>
      </c>
    </row>
    <row r="703" spans="1:13" x14ac:dyDescent="0.25">
      <c r="A703" s="11" t="s">
        <v>384</v>
      </c>
      <c r="B703" s="26" t="s">
        <v>385</v>
      </c>
      <c r="C703" s="26"/>
      <c r="D703" s="26"/>
      <c r="E703" s="11">
        <v>4.8</v>
      </c>
      <c r="G703" s="1">
        <f>((Fórmulas!C$6/Fórmulas!D$6)/Fórmulas!E$6)*E703</f>
        <v>11.755102040816327</v>
      </c>
      <c r="H703" s="1">
        <f>G703*Fórmulas!B$9</f>
        <v>4114.2857142857147</v>
      </c>
      <c r="I703" s="7">
        <f t="shared" si="20"/>
        <v>8</v>
      </c>
      <c r="K703" s="1">
        <v>1</v>
      </c>
      <c r="L703" s="1">
        <f>((Fórmulas!C$6/Fórmulas!D$6)/0.7)*K703</f>
        <v>2.4489795918367347</v>
      </c>
      <c r="M703" s="1">
        <f>L703*Fórmulas!D$6</f>
        <v>857.14285714285711</v>
      </c>
    </row>
    <row r="704" spans="1:13" x14ac:dyDescent="0.25">
      <c r="A704" s="11" t="s">
        <v>384</v>
      </c>
      <c r="B704" s="26" t="s">
        <v>388</v>
      </c>
      <c r="C704" s="26"/>
      <c r="D704" s="26"/>
      <c r="E704" s="11">
        <v>9.1999999999999993</v>
      </c>
      <c r="G704" s="1">
        <f>((Fórmulas!C$6/Fórmulas!D$6)/Fórmulas!E$6)*E704</f>
        <v>22.530612244897959</v>
      </c>
      <c r="H704" s="1">
        <f>G704*Fórmulas!B$9</f>
        <v>7885.7142857142853</v>
      </c>
      <c r="I704" s="7">
        <f t="shared" si="20"/>
        <v>15.333333333333332</v>
      </c>
      <c r="K704" s="1">
        <v>1</v>
      </c>
      <c r="L704" s="1">
        <f>((Fórmulas!C$6/Fórmulas!D$6)/0.7)*K704</f>
        <v>2.4489795918367347</v>
      </c>
      <c r="M704" s="1">
        <f>L704*Fórmulas!D$6</f>
        <v>857.14285714285711</v>
      </c>
    </row>
    <row r="705" spans="1:13" x14ac:dyDescent="0.25">
      <c r="A705" s="11" t="s">
        <v>384</v>
      </c>
      <c r="B705" s="25" t="s">
        <v>392</v>
      </c>
      <c r="C705" s="25"/>
      <c r="D705" s="25"/>
      <c r="E705" s="11">
        <v>8</v>
      </c>
      <c r="G705" s="1">
        <f>((Fórmulas!C$6/Fórmulas!D$6)/Fórmulas!E$6)*E705</f>
        <v>19.591836734693878</v>
      </c>
      <c r="H705" s="1">
        <f>G705*Fórmulas!B$9</f>
        <v>6857.1428571428569</v>
      </c>
      <c r="I705" s="7">
        <f t="shared" si="20"/>
        <v>13.333333333333334</v>
      </c>
      <c r="K705" s="1">
        <v>1</v>
      </c>
      <c r="L705" s="1">
        <f>((Fórmulas!C$6/Fórmulas!D$6)/0.7)*K705</f>
        <v>2.4489795918367347</v>
      </c>
      <c r="M705" s="1">
        <f>L705*Fórmulas!D$6</f>
        <v>857.14285714285711</v>
      </c>
    </row>
    <row r="706" spans="1:13" x14ac:dyDescent="0.25">
      <c r="A706" s="11" t="s">
        <v>384</v>
      </c>
      <c r="B706" s="25" t="s">
        <v>393</v>
      </c>
      <c r="C706" s="25"/>
      <c r="D706" s="25"/>
      <c r="E706" s="11">
        <v>8</v>
      </c>
      <c r="G706" s="1">
        <f>((Fórmulas!C$6/Fórmulas!D$6)/Fórmulas!E$6)*E706</f>
        <v>19.591836734693878</v>
      </c>
      <c r="H706" s="1">
        <f>G706*Fórmulas!B$9</f>
        <v>6857.1428571428569</v>
      </c>
      <c r="I706" s="7">
        <f t="shared" si="20"/>
        <v>13.333333333333334</v>
      </c>
      <c r="K706" s="1">
        <v>1</v>
      </c>
      <c r="L706" s="1">
        <f>((Fórmulas!C$6/Fórmulas!D$6)/0.7)*K706</f>
        <v>2.4489795918367347</v>
      </c>
      <c r="M706" s="1">
        <f>L706*Fórmulas!D$6</f>
        <v>857.14285714285711</v>
      </c>
    </row>
    <row r="707" spans="1:13" x14ac:dyDescent="0.25">
      <c r="A707" s="11"/>
      <c r="B707" s="26"/>
      <c r="C707" s="26"/>
      <c r="D707" s="26"/>
      <c r="E707" s="11">
        <v>0</v>
      </c>
      <c r="G707" s="1">
        <f>((Fórmulas!C$6/Fórmulas!D$6)/Fórmulas!E$6)*E707</f>
        <v>0</v>
      </c>
      <c r="H707" s="1">
        <f>G707*Fórmulas!B$9</f>
        <v>0</v>
      </c>
      <c r="I707" s="7">
        <f t="shared" si="20"/>
        <v>0</v>
      </c>
      <c r="K707" s="1">
        <v>1</v>
      </c>
      <c r="L707" s="1">
        <f>((Fórmulas!C$6/Fórmulas!D$6)/0.7)*K707</f>
        <v>2.4489795918367347</v>
      </c>
      <c r="M707" s="1">
        <f>L707*Fórmulas!D$6</f>
        <v>857.14285714285711</v>
      </c>
    </row>
    <row r="708" spans="1:13" x14ac:dyDescent="0.25">
      <c r="A708" s="11"/>
      <c r="B708" s="26"/>
      <c r="C708" s="26"/>
      <c r="D708" s="26"/>
      <c r="E708" s="11">
        <v>0</v>
      </c>
      <c r="F708" s="1">
        <v>0</v>
      </c>
      <c r="G708" s="1">
        <f>((Fórmulas!C$6/Fórmulas!D$6)/Fórmulas!E$6)*E708</f>
        <v>0</v>
      </c>
      <c r="H708" s="1">
        <f>G708*Fórmulas!B$9</f>
        <v>0</v>
      </c>
      <c r="I708" s="7">
        <f t="shared" si="20"/>
        <v>0</v>
      </c>
      <c r="K708" s="1">
        <v>1</v>
      </c>
      <c r="L708" s="1">
        <f>((Fórmulas!C$6/Fórmulas!D$6)/0.7)*K708</f>
        <v>2.4489795918367347</v>
      </c>
      <c r="M708" s="1">
        <f>L708*Fórmulas!D$6</f>
        <v>857.14285714285711</v>
      </c>
    </row>
    <row r="709" spans="1:13" x14ac:dyDescent="0.25">
      <c r="A709" s="11"/>
      <c r="B709" s="26"/>
      <c r="C709" s="26"/>
      <c r="D709" s="26"/>
      <c r="E709" s="11">
        <v>0</v>
      </c>
      <c r="G709" s="1">
        <f>((Fórmulas!C$6/Fórmulas!D$6)/Fórmulas!E$6)*E709</f>
        <v>0</v>
      </c>
      <c r="H709" s="1">
        <f>G709*Fórmulas!B$9</f>
        <v>0</v>
      </c>
      <c r="I709" s="7">
        <f t="shared" si="20"/>
        <v>0</v>
      </c>
      <c r="J709" s="4"/>
      <c r="K709" s="1">
        <v>1</v>
      </c>
      <c r="L709" s="1">
        <f>((Fórmulas!C$6/Fórmulas!D$6)/0.7)*K709</f>
        <v>2.4489795918367347</v>
      </c>
      <c r="M709" s="1">
        <f>L709*Fórmulas!D$6</f>
        <v>857.14285714285711</v>
      </c>
    </row>
    <row r="710" spans="1:13" x14ac:dyDescent="0.25">
      <c r="A710" s="11" t="s">
        <v>386</v>
      </c>
      <c r="B710" s="26" t="s">
        <v>387</v>
      </c>
      <c r="C710" s="26"/>
      <c r="D710" s="26"/>
      <c r="E710" s="11">
        <v>8</v>
      </c>
      <c r="G710" s="1">
        <f>((Fórmulas!C$6/Fórmulas!D$6)/Fórmulas!E$6)*E710</f>
        <v>19.591836734693878</v>
      </c>
      <c r="H710" s="1">
        <f>G710*Fórmulas!B$9</f>
        <v>6857.1428571428569</v>
      </c>
      <c r="I710" s="7">
        <f t="shared" si="20"/>
        <v>13.333333333333334</v>
      </c>
      <c r="J710" s="4"/>
      <c r="K710" s="1">
        <v>1</v>
      </c>
      <c r="L710" s="1">
        <f>((Fórmulas!C$6/Fórmulas!D$6)/0.7)*K710</f>
        <v>2.4489795918367347</v>
      </c>
      <c r="M710" s="1">
        <f>L710*Fórmulas!D$6</f>
        <v>857.14285714285711</v>
      </c>
    </row>
    <row r="711" spans="1:13" x14ac:dyDescent="0.25">
      <c r="A711" s="11" t="s">
        <v>386</v>
      </c>
      <c r="B711" s="26" t="s">
        <v>389</v>
      </c>
      <c r="C711" s="26"/>
      <c r="D711" s="26"/>
      <c r="E711" s="11">
        <v>15.5</v>
      </c>
      <c r="G711" s="1">
        <f>((Fórmulas!C$6/Fórmulas!D$6)/Fórmulas!E$6)*E711</f>
        <v>37.95918367346939</v>
      </c>
      <c r="H711" s="1">
        <f>G711*Fórmulas!B$9</f>
        <v>13285.714285714286</v>
      </c>
      <c r="I711" s="7">
        <f t="shared" si="20"/>
        <v>25.833333333333336</v>
      </c>
      <c r="J711" s="4"/>
      <c r="K711" s="1">
        <v>1</v>
      </c>
      <c r="L711" s="1">
        <f>((Fórmulas!C$6/Fórmulas!D$6)/0.7)*K711</f>
        <v>2.4489795918367347</v>
      </c>
      <c r="M711" s="1">
        <f>L711*Fórmulas!D$6</f>
        <v>857.14285714285711</v>
      </c>
    </row>
    <row r="712" spans="1:13" x14ac:dyDescent="0.25">
      <c r="A712" s="22" t="s">
        <v>394</v>
      </c>
      <c r="B712" s="26" t="s">
        <v>395</v>
      </c>
      <c r="C712" s="26"/>
      <c r="D712" s="26"/>
      <c r="E712" s="22">
        <v>12.7</v>
      </c>
      <c r="F712" s="22"/>
      <c r="G712" s="1">
        <f>((Fórmulas!C$6/Fórmulas!D$6)/Fórmulas!E$6)*E712</f>
        <v>31.102040816326529</v>
      </c>
      <c r="H712" s="1">
        <f>G712*Fórmulas!B$9</f>
        <v>10885.714285714284</v>
      </c>
      <c r="I712" s="7">
        <f t="shared" ref="I712" si="21">E712/0.6</f>
        <v>21.166666666666668</v>
      </c>
      <c r="J712" s="22"/>
      <c r="K712" s="1">
        <v>1</v>
      </c>
      <c r="L712" s="1">
        <f>((Fórmulas!C$6/Fórmulas!D$6)/0.7)*K712</f>
        <v>2.4489795918367347</v>
      </c>
      <c r="M712" s="1">
        <f>L712*Fórmulas!D$6</f>
        <v>857.14285714285711</v>
      </c>
    </row>
    <row r="713" spans="1:13" x14ac:dyDescent="0.25">
      <c r="A713" s="11"/>
      <c r="B713" s="26"/>
      <c r="C713" s="26"/>
      <c r="D713" s="26"/>
      <c r="E713" s="11">
        <v>0</v>
      </c>
      <c r="G713" s="1">
        <f>((Fórmulas!C$6/Fórmulas!D$6)/Fórmulas!E$6)*E713</f>
        <v>0</v>
      </c>
      <c r="H713" s="1">
        <f>G713*Fórmulas!B$9</f>
        <v>0</v>
      </c>
      <c r="I713" s="7">
        <f t="shared" si="20"/>
        <v>0</v>
      </c>
      <c r="J713" s="4"/>
      <c r="K713" s="1">
        <v>1</v>
      </c>
      <c r="L713" s="1">
        <f>((Fórmulas!C$6/Fórmulas!D$6)/0.7)*K713</f>
        <v>2.4489795918367347</v>
      </c>
      <c r="M713" s="1">
        <f>L713*Fórmulas!D$6</f>
        <v>857.14285714285711</v>
      </c>
    </row>
    <row r="714" spans="1:13" x14ac:dyDescent="0.25">
      <c r="A714" s="11" t="s">
        <v>831</v>
      </c>
      <c r="B714" s="25" t="s">
        <v>837</v>
      </c>
      <c r="C714" s="25"/>
      <c r="D714" s="25"/>
      <c r="E714" s="11">
        <v>9.4</v>
      </c>
      <c r="G714" s="1">
        <f>((Fórmulas!C$6/Fórmulas!D$6)/Fórmulas!E$6)*E714</f>
        <v>23.020408163265309</v>
      </c>
      <c r="H714" s="1">
        <f>G714*Fórmulas!B$9</f>
        <v>8057.1428571428578</v>
      </c>
      <c r="I714" s="7">
        <f t="shared" si="20"/>
        <v>15.666666666666668</v>
      </c>
      <c r="J714" s="4"/>
      <c r="K714" s="1">
        <v>1</v>
      </c>
      <c r="L714" s="1">
        <f>((Fórmulas!C$6/Fórmulas!D$6)/0.7)*K714</f>
        <v>2.4489795918367347</v>
      </c>
      <c r="M714" s="1">
        <f>L714*Fórmulas!D$6</f>
        <v>857.14285714285711</v>
      </c>
    </row>
    <row r="715" spans="1:13" x14ac:dyDescent="0.25">
      <c r="A715" s="11" t="s">
        <v>831</v>
      </c>
      <c r="B715" s="25" t="s">
        <v>838</v>
      </c>
      <c r="C715" s="25"/>
      <c r="D715" s="25"/>
      <c r="E715" s="11">
        <v>9.4</v>
      </c>
      <c r="G715" s="1">
        <f>((Fórmulas!C$6/Fórmulas!D$6)/Fórmulas!E$6)*E715</f>
        <v>23.020408163265309</v>
      </c>
      <c r="H715" s="1">
        <f>G715*Fórmulas!B$9</f>
        <v>8057.1428571428578</v>
      </c>
      <c r="I715" s="7">
        <f t="shared" si="20"/>
        <v>15.666666666666668</v>
      </c>
      <c r="J715" s="4"/>
      <c r="K715" s="1">
        <v>1</v>
      </c>
      <c r="L715" s="1">
        <f>((Fórmulas!C$6/Fórmulas!D$6)/0.7)*K715</f>
        <v>2.4489795918367347</v>
      </c>
      <c r="M715" s="1">
        <f>L715*Fórmulas!D$6</f>
        <v>857.14285714285711</v>
      </c>
    </row>
    <row r="716" spans="1:13" x14ac:dyDescent="0.25">
      <c r="A716" s="22" t="s">
        <v>831</v>
      </c>
      <c r="B716" s="25" t="s">
        <v>839</v>
      </c>
      <c r="C716" s="25"/>
      <c r="D716" s="25"/>
      <c r="E716" s="11">
        <v>9.4</v>
      </c>
      <c r="G716" s="1">
        <f>((Fórmulas!C$6/Fórmulas!D$6)/Fórmulas!E$6)*E716</f>
        <v>23.020408163265309</v>
      </c>
      <c r="H716" s="1">
        <f>G716*Fórmulas!B$9</f>
        <v>8057.1428571428578</v>
      </c>
      <c r="I716" s="7">
        <f t="shared" si="20"/>
        <v>15.666666666666668</v>
      </c>
      <c r="J716" s="4"/>
      <c r="K716" s="1">
        <v>1</v>
      </c>
      <c r="L716" s="1">
        <f>((Fórmulas!C$6/Fórmulas!D$6)/0.7)*K716</f>
        <v>2.4489795918367347</v>
      </c>
      <c r="M716" s="1">
        <f>L716*Fórmulas!D$6</f>
        <v>857.14285714285711</v>
      </c>
    </row>
    <row r="717" spans="1:13" x14ac:dyDescent="0.25">
      <c r="A717" s="22" t="s">
        <v>831</v>
      </c>
      <c r="B717" s="25" t="s">
        <v>840</v>
      </c>
      <c r="C717" s="25"/>
      <c r="D717" s="25"/>
      <c r="E717" s="11">
        <v>9.4</v>
      </c>
      <c r="G717" s="1">
        <f>((Fórmulas!C$6/Fórmulas!D$6)/Fórmulas!E$6)*E717</f>
        <v>23.020408163265309</v>
      </c>
      <c r="H717" s="1">
        <f>G717*Fórmulas!B$9</f>
        <v>8057.1428571428578</v>
      </c>
      <c r="I717" s="7">
        <f t="shared" si="20"/>
        <v>15.666666666666668</v>
      </c>
      <c r="J717" s="4"/>
      <c r="K717" s="1">
        <v>1</v>
      </c>
      <c r="L717" s="1">
        <f>((Fórmulas!C$6/Fórmulas!D$6)/0.7)*K717</f>
        <v>2.4489795918367347</v>
      </c>
      <c r="M717" s="1">
        <f>L717*Fórmulas!D$6</f>
        <v>857.14285714285711</v>
      </c>
    </row>
    <row r="718" spans="1:13" x14ac:dyDescent="0.25">
      <c r="A718" s="11"/>
      <c r="B718" s="26"/>
      <c r="C718" s="26"/>
      <c r="D718" s="26"/>
      <c r="E718" s="11">
        <v>0</v>
      </c>
      <c r="G718" s="1">
        <f>((Fórmulas!C$6/Fórmulas!D$6)/Fórmulas!E$6)*E718</f>
        <v>0</v>
      </c>
      <c r="H718" s="1">
        <f>G718*Fórmulas!B$9</f>
        <v>0</v>
      </c>
      <c r="I718" s="7">
        <f t="shared" si="20"/>
        <v>0</v>
      </c>
      <c r="J718" s="4"/>
      <c r="K718" s="1">
        <v>1</v>
      </c>
      <c r="L718" s="1">
        <f>((Fórmulas!C$6/Fórmulas!D$6)/0.7)*K718</f>
        <v>2.4489795918367347</v>
      </c>
      <c r="M718" s="1">
        <f>L718*Fórmulas!D$6</f>
        <v>857.14285714285711</v>
      </c>
    </row>
    <row r="719" spans="1:13" x14ac:dyDescent="0.25">
      <c r="A719" s="11" t="s">
        <v>832</v>
      </c>
      <c r="B719" s="25" t="s">
        <v>833</v>
      </c>
      <c r="C719" s="25"/>
      <c r="D719" s="25"/>
      <c r="E719" s="11">
        <v>14</v>
      </c>
      <c r="G719" s="1">
        <f>((Fórmulas!C$6/Fórmulas!D$6)/Fórmulas!E$6)*E719</f>
        <v>34.285714285714285</v>
      </c>
      <c r="H719" s="1">
        <f>G719*Fórmulas!B$9</f>
        <v>12000</v>
      </c>
      <c r="I719" s="7">
        <f t="shared" ref="I719:I796" si="22">E719/0.6</f>
        <v>23.333333333333336</v>
      </c>
      <c r="J719" s="4"/>
      <c r="K719" s="1">
        <v>1</v>
      </c>
      <c r="L719" s="1">
        <f>((Fórmulas!C$6/Fórmulas!D$6)/0.7)*K719</f>
        <v>2.4489795918367347</v>
      </c>
      <c r="M719" s="1">
        <f>L719*Fórmulas!D$6</f>
        <v>857.14285714285711</v>
      </c>
    </row>
    <row r="720" spans="1:13" x14ac:dyDescent="0.25">
      <c r="A720" s="22" t="s">
        <v>832</v>
      </c>
      <c r="B720" s="25" t="s">
        <v>834</v>
      </c>
      <c r="C720" s="25"/>
      <c r="D720" s="25"/>
      <c r="E720" s="11">
        <v>14</v>
      </c>
      <c r="G720" s="1">
        <f>((Fórmulas!C$6/Fórmulas!D$6)/Fórmulas!E$6)*E720</f>
        <v>34.285714285714285</v>
      </c>
      <c r="H720" s="1">
        <f>G720*Fórmulas!B$9</f>
        <v>12000</v>
      </c>
      <c r="I720" s="7">
        <f t="shared" si="22"/>
        <v>23.333333333333336</v>
      </c>
      <c r="J720" s="4"/>
      <c r="K720" s="1">
        <v>1</v>
      </c>
      <c r="L720" s="1">
        <f>((Fórmulas!C$6/Fórmulas!D$6)/0.7)*K720</f>
        <v>2.4489795918367347</v>
      </c>
      <c r="M720" s="1">
        <f>L720*Fórmulas!D$6</f>
        <v>857.14285714285711</v>
      </c>
    </row>
    <row r="721" spans="1:13" x14ac:dyDescent="0.25">
      <c r="A721" s="22" t="s">
        <v>832</v>
      </c>
      <c r="B721" s="25" t="s">
        <v>710</v>
      </c>
      <c r="C721" s="25"/>
      <c r="D721" s="25"/>
      <c r="E721" s="11">
        <v>14</v>
      </c>
      <c r="G721" s="1">
        <f>((Fórmulas!C$6/Fórmulas!D$6)/Fórmulas!E$6)*E721</f>
        <v>34.285714285714285</v>
      </c>
      <c r="H721" s="1">
        <f>G721*Fórmulas!B$9</f>
        <v>12000</v>
      </c>
      <c r="I721" s="7">
        <f t="shared" si="22"/>
        <v>23.333333333333336</v>
      </c>
      <c r="J721" s="4"/>
      <c r="K721" s="1">
        <v>1</v>
      </c>
      <c r="L721" s="1">
        <f>((Fórmulas!C$6/Fórmulas!D$6)/0.7)*K721</f>
        <v>2.4489795918367347</v>
      </c>
      <c r="M721" s="1">
        <f>L721*Fórmulas!D$6</f>
        <v>857.14285714285711</v>
      </c>
    </row>
    <row r="722" spans="1:13" x14ac:dyDescent="0.25">
      <c r="A722" s="22" t="s">
        <v>832</v>
      </c>
      <c r="B722" s="25" t="s">
        <v>835</v>
      </c>
      <c r="C722" s="25"/>
      <c r="D722" s="25"/>
      <c r="E722" s="11">
        <v>16</v>
      </c>
      <c r="G722" s="1">
        <f>((Fórmulas!C$6/Fórmulas!D$6)/Fórmulas!E$6)*E722</f>
        <v>39.183673469387756</v>
      </c>
      <c r="H722" s="1">
        <f>G722*Fórmulas!B$9</f>
        <v>13714.285714285714</v>
      </c>
      <c r="I722" s="7">
        <f t="shared" si="22"/>
        <v>26.666666666666668</v>
      </c>
      <c r="J722" s="4"/>
      <c r="K722" s="1">
        <v>1</v>
      </c>
      <c r="L722" s="1">
        <f>((Fórmulas!C$6/Fórmulas!D$6)/0.7)*K722</f>
        <v>2.4489795918367347</v>
      </c>
      <c r="M722" s="1">
        <f>L722*Fórmulas!D$6</f>
        <v>857.14285714285711</v>
      </c>
    </row>
    <row r="723" spans="1:13" s="22" customFormat="1" x14ac:dyDescent="0.25">
      <c r="A723" s="22" t="s">
        <v>832</v>
      </c>
      <c r="B723" s="25" t="s">
        <v>836</v>
      </c>
      <c r="C723" s="25"/>
      <c r="D723" s="25"/>
      <c r="E723" s="22">
        <v>25</v>
      </c>
      <c r="G723" s="1">
        <f>((Fórmulas!C$6/Fórmulas!D$6)/Fórmulas!E$6)*E723</f>
        <v>61.224489795918366</v>
      </c>
      <c r="H723" s="1">
        <f>G723*Fórmulas!B$9</f>
        <v>21428.571428571428</v>
      </c>
      <c r="I723" s="7">
        <f t="shared" si="22"/>
        <v>41.666666666666671</v>
      </c>
      <c r="K723" s="1">
        <v>1</v>
      </c>
      <c r="L723" s="1">
        <f>((Fórmulas!C$6/Fórmulas!D$6)/0.7)*K723</f>
        <v>2.4489795918367347</v>
      </c>
      <c r="M723" s="1">
        <f>L723*Fórmulas!D$6</f>
        <v>857.14285714285711</v>
      </c>
    </row>
    <row r="724" spans="1:13" s="22" customFormat="1" x14ac:dyDescent="0.25">
      <c r="B724" s="26"/>
      <c r="C724" s="26"/>
      <c r="D724" s="26"/>
      <c r="E724" s="22">
        <v>0</v>
      </c>
      <c r="G724" s="1">
        <f>((Fórmulas!C$6/Fórmulas!D$6)/Fórmulas!E$6)*E724</f>
        <v>0</v>
      </c>
      <c r="H724" s="1">
        <f>G724*Fórmulas!B$9</f>
        <v>0</v>
      </c>
      <c r="I724" s="7">
        <f t="shared" si="22"/>
        <v>0</v>
      </c>
      <c r="K724" s="1">
        <v>1</v>
      </c>
      <c r="L724" s="1">
        <f>((Fórmulas!C$6/Fórmulas!D$6)/0.7)*K724</f>
        <v>2.4489795918367347</v>
      </c>
      <c r="M724" s="1">
        <f>L724*Fórmulas!D$6</f>
        <v>857.14285714285711</v>
      </c>
    </row>
    <row r="725" spans="1:13" s="22" customFormat="1" x14ac:dyDescent="0.25">
      <c r="B725" s="26"/>
      <c r="C725" s="26"/>
      <c r="D725" s="26"/>
      <c r="E725" s="22">
        <v>0</v>
      </c>
      <c r="G725" s="1">
        <f>((Fórmulas!C$6/Fórmulas!D$6)/Fórmulas!E$6)*E725</f>
        <v>0</v>
      </c>
      <c r="H725" s="1">
        <f>G725*Fórmulas!B$9</f>
        <v>0</v>
      </c>
      <c r="I725" s="7">
        <f t="shared" si="22"/>
        <v>0</v>
      </c>
      <c r="K725" s="1">
        <v>1</v>
      </c>
      <c r="L725" s="1">
        <f>((Fórmulas!C$6/Fórmulas!D$6)/0.7)*K725</f>
        <v>2.4489795918367347</v>
      </c>
      <c r="M725" s="1">
        <f>L725*Fórmulas!D$6</f>
        <v>857.14285714285711</v>
      </c>
    </row>
    <row r="726" spans="1:13" s="22" customFormat="1" x14ac:dyDescent="0.25">
      <c r="B726" s="26"/>
      <c r="C726" s="26"/>
      <c r="D726" s="26"/>
      <c r="E726" s="22">
        <v>0</v>
      </c>
      <c r="G726" s="1">
        <f>((Fórmulas!C$6/Fórmulas!D$6)/Fórmulas!E$6)*E726</f>
        <v>0</v>
      </c>
      <c r="H726" s="1">
        <f>G726*Fórmulas!B$9</f>
        <v>0</v>
      </c>
      <c r="I726" s="7">
        <f t="shared" si="22"/>
        <v>0</v>
      </c>
      <c r="K726" s="1">
        <v>1</v>
      </c>
      <c r="L726" s="1">
        <f>((Fórmulas!C$6/Fórmulas!D$6)/0.7)*K726</f>
        <v>2.4489795918367347</v>
      </c>
      <c r="M726" s="1">
        <f>L726*Fórmulas!D$6</f>
        <v>857.14285714285711</v>
      </c>
    </row>
    <row r="727" spans="1:13" s="22" customFormat="1" x14ac:dyDescent="0.25">
      <c r="B727" s="26"/>
      <c r="C727" s="26"/>
      <c r="D727" s="26"/>
      <c r="E727" s="22">
        <v>0</v>
      </c>
      <c r="G727" s="1">
        <f>((Fórmulas!C$6/Fórmulas!D$6)/Fórmulas!E$6)*E727</f>
        <v>0</v>
      </c>
      <c r="H727" s="1">
        <f>G727*Fórmulas!B$9</f>
        <v>0</v>
      </c>
      <c r="I727" s="7">
        <f t="shared" si="22"/>
        <v>0</v>
      </c>
      <c r="K727" s="1">
        <v>1</v>
      </c>
      <c r="L727" s="1">
        <f>((Fórmulas!C$6/Fórmulas!D$6)/0.7)*K727</f>
        <v>2.4489795918367347</v>
      </c>
      <c r="M727" s="1">
        <f>L727*Fórmulas!D$6</f>
        <v>857.14285714285711</v>
      </c>
    </row>
    <row r="728" spans="1:13" s="22" customFormat="1" x14ac:dyDescent="0.25">
      <c r="A728" s="22" t="s">
        <v>841</v>
      </c>
      <c r="B728" s="26"/>
      <c r="C728" s="26"/>
      <c r="D728" s="26"/>
      <c r="E728" s="22">
        <v>0</v>
      </c>
      <c r="G728" s="1">
        <f>((Fórmulas!C$6/Fórmulas!D$6)/Fórmulas!E$6)*E728</f>
        <v>0</v>
      </c>
      <c r="H728" s="1">
        <f>G728*Fórmulas!B$9</f>
        <v>0</v>
      </c>
      <c r="I728" s="7">
        <f t="shared" si="22"/>
        <v>0</v>
      </c>
      <c r="K728" s="1">
        <v>1</v>
      </c>
      <c r="L728" s="1">
        <f>((Fórmulas!C$6/Fórmulas!D$6)/0.7)*K728</f>
        <v>2.4489795918367347</v>
      </c>
      <c r="M728" s="1">
        <f>L728*Fórmulas!D$6</f>
        <v>857.14285714285711</v>
      </c>
    </row>
    <row r="729" spans="1:13" s="22" customFormat="1" x14ac:dyDescent="0.25">
      <c r="B729" s="26"/>
      <c r="C729" s="26"/>
      <c r="D729" s="26"/>
      <c r="E729" s="22">
        <v>0</v>
      </c>
      <c r="G729" s="1">
        <f>((Fórmulas!C$6/Fórmulas!D$6)/Fórmulas!E$6)*E729</f>
        <v>0</v>
      </c>
      <c r="H729" s="1">
        <f>G729*Fórmulas!B$9</f>
        <v>0</v>
      </c>
      <c r="I729" s="7">
        <f t="shared" si="22"/>
        <v>0</v>
      </c>
      <c r="K729" s="1">
        <v>1</v>
      </c>
      <c r="L729" s="1">
        <f>((Fórmulas!C$6/Fórmulas!D$6)/0.7)*K729</f>
        <v>2.4489795918367347</v>
      </c>
      <c r="M729" s="1">
        <f>L729*Fórmulas!D$6</f>
        <v>857.14285714285711</v>
      </c>
    </row>
    <row r="730" spans="1:13" s="22" customFormat="1" x14ac:dyDescent="0.25">
      <c r="B730" s="26"/>
      <c r="C730" s="26"/>
      <c r="D730" s="26"/>
      <c r="E730" s="22">
        <v>0</v>
      </c>
      <c r="G730" s="1">
        <f>((Fórmulas!C$6/Fórmulas!D$6)/Fórmulas!E$6)*E730</f>
        <v>0</v>
      </c>
      <c r="H730" s="1">
        <f>G730*Fórmulas!B$9</f>
        <v>0</v>
      </c>
      <c r="I730" s="7">
        <f t="shared" si="22"/>
        <v>0</v>
      </c>
      <c r="K730" s="1">
        <v>1</v>
      </c>
      <c r="L730" s="1">
        <f>((Fórmulas!C$6/Fórmulas!D$6)/0.7)*K730</f>
        <v>2.4489795918367347</v>
      </c>
      <c r="M730" s="1">
        <f>L730*Fórmulas!D$6</f>
        <v>857.14285714285711</v>
      </c>
    </row>
    <row r="731" spans="1:13" s="22" customFormat="1" x14ac:dyDescent="0.25">
      <c r="B731" s="26"/>
      <c r="C731" s="26"/>
      <c r="D731" s="26"/>
      <c r="E731" s="22">
        <v>0</v>
      </c>
      <c r="G731" s="1">
        <f>((Fórmulas!C$6/Fórmulas!D$6)/Fórmulas!E$6)*E731</f>
        <v>0</v>
      </c>
      <c r="H731" s="1">
        <f>G731*Fórmulas!B$9</f>
        <v>0</v>
      </c>
      <c r="I731" s="7">
        <f t="shared" si="22"/>
        <v>0</v>
      </c>
      <c r="K731" s="1">
        <v>1</v>
      </c>
      <c r="L731" s="1">
        <f>((Fórmulas!C$6/Fórmulas!D$6)/0.7)*K731</f>
        <v>2.4489795918367347</v>
      </c>
      <c r="M731" s="1">
        <f>L731*Fórmulas!D$6</f>
        <v>857.14285714285711</v>
      </c>
    </row>
    <row r="732" spans="1:13" s="24" customFormat="1" x14ac:dyDescent="0.25">
      <c r="B732" s="26"/>
      <c r="C732" s="26"/>
      <c r="D732" s="26"/>
      <c r="E732" s="24">
        <v>0</v>
      </c>
      <c r="G732" s="1">
        <f>((Fórmulas!C$6/Fórmulas!D$6)/Fórmulas!E$6)*E732</f>
        <v>0</v>
      </c>
      <c r="H732" s="1">
        <f>G732*Fórmulas!B$9</f>
        <v>0</v>
      </c>
      <c r="I732" s="7">
        <f t="shared" ref="I732:I744" si="23">E732/0.6</f>
        <v>0</v>
      </c>
      <c r="K732" s="1">
        <v>1</v>
      </c>
      <c r="L732" s="1">
        <f>((Fórmulas!C$6/Fórmulas!D$6)/0.7)*K732</f>
        <v>2.4489795918367347</v>
      </c>
      <c r="M732" s="1">
        <f>L732*Fórmulas!D$6</f>
        <v>857.14285714285711</v>
      </c>
    </row>
    <row r="733" spans="1:13" s="24" customFormat="1" x14ac:dyDescent="0.25">
      <c r="B733" s="26"/>
      <c r="C733" s="26"/>
      <c r="D733" s="26"/>
      <c r="E733" s="24">
        <v>0</v>
      </c>
      <c r="G733" s="1">
        <f>((Fórmulas!C$6/Fórmulas!D$6)/Fórmulas!E$6)*E733</f>
        <v>0</v>
      </c>
      <c r="H733" s="1">
        <f>G733*Fórmulas!B$9</f>
        <v>0</v>
      </c>
      <c r="I733" s="7">
        <f t="shared" si="23"/>
        <v>0</v>
      </c>
      <c r="K733" s="1">
        <v>1</v>
      </c>
      <c r="L733" s="1">
        <f>((Fórmulas!C$6/Fórmulas!D$6)/0.7)*K733</f>
        <v>2.4489795918367347</v>
      </c>
      <c r="M733" s="1">
        <f>L733*Fórmulas!D$6</f>
        <v>857.14285714285711</v>
      </c>
    </row>
    <row r="734" spans="1:13" s="24" customFormat="1" x14ac:dyDescent="0.25">
      <c r="B734" s="26"/>
      <c r="C734" s="26"/>
      <c r="D734" s="26"/>
      <c r="E734" s="24">
        <v>0</v>
      </c>
      <c r="G734" s="1">
        <f>((Fórmulas!C$6/Fórmulas!D$6)/Fórmulas!E$6)*E734</f>
        <v>0</v>
      </c>
      <c r="H734" s="1">
        <f>G734*Fórmulas!B$9</f>
        <v>0</v>
      </c>
      <c r="I734" s="7">
        <f t="shared" si="23"/>
        <v>0</v>
      </c>
      <c r="K734" s="1">
        <v>1</v>
      </c>
      <c r="L734" s="1">
        <f>((Fórmulas!C$6/Fórmulas!D$6)/0.7)*K734</f>
        <v>2.4489795918367347</v>
      </c>
      <c r="M734" s="1">
        <f>L734*Fórmulas!D$6</f>
        <v>857.14285714285711</v>
      </c>
    </row>
    <row r="735" spans="1:13" s="24" customFormat="1" x14ac:dyDescent="0.25">
      <c r="B735" s="26"/>
      <c r="C735" s="26"/>
      <c r="D735" s="26"/>
      <c r="E735" s="24">
        <v>0</v>
      </c>
      <c r="G735" s="1">
        <f>((Fórmulas!C$6/Fórmulas!D$6)/Fórmulas!E$6)*E735</f>
        <v>0</v>
      </c>
      <c r="H735" s="1">
        <f>G735*Fórmulas!B$9</f>
        <v>0</v>
      </c>
      <c r="I735" s="7">
        <f t="shared" si="23"/>
        <v>0</v>
      </c>
      <c r="K735" s="1">
        <v>1</v>
      </c>
      <c r="L735" s="1">
        <f>((Fórmulas!C$6/Fórmulas!D$6)/0.7)*K735</f>
        <v>2.4489795918367347</v>
      </c>
      <c r="M735" s="1">
        <f>L735*Fórmulas!D$6</f>
        <v>857.14285714285711</v>
      </c>
    </row>
    <row r="736" spans="1:13" s="24" customFormat="1" x14ac:dyDescent="0.25">
      <c r="B736" s="26"/>
      <c r="C736" s="26"/>
      <c r="D736" s="26"/>
      <c r="E736" s="24">
        <v>0</v>
      </c>
      <c r="G736" s="1">
        <f>((Fórmulas!C$6/Fórmulas!D$6)/Fórmulas!E$6)*E736</f>
        <v>0</v>
      </c>
      <c r="H736" s="1">
        <f>G736*Fórmulas!B$9</f>
        <v>0</v>
      </c>
      <c r="I736" s="7">
        <f t="shared" si="23"/>
        <v>0</v>
      </c>
      <c r="K736" s="1">
        <v>1</v>
      </c>
      <c r="L736" s="1">
        <f>((Fórmulas!C$6/Fórmulas!D$6)/0.7)*K736</f>
        <v>2.4489795918367347</v>
      </c>
      <c r="M736" s="1">
        <f>L736*Fórmulas!D$6</f>
        <v>857.14285714285711</v>
      </c>
    </row>
    <row r="737" spans="1:13" s="24" customFormat="1" x14ac:dyDescent="0.25">
      <c r="B737" s="26"/>
      <c r="C737" s="26"/>
      <c r="D737" s="26"/>
      <c r="E737" s="24">
        <v>0</v>
      </c>
      <c r="G737" s="1">
        <f>((Fórmulas!C$6/Fórmulas!D$6)/Fórmulas!E$6)*E737</f>
        <v>0</v>
      </c>
      <c r="H737" s="1">
        <f>G737*Fórmulas!B$9</f>
        <v>0</v>
      </c>
      <c r="I737" s="7">
        <f t="shared" si="23"/>
        <v>0</v>
      </c>
      <c r="K737" s="1">
        <v>1</v>
      </c>
      <c r="L737" s="1">
        <f>((Fórmulas!C$6/Fórmulas!D$6)/0.7)*K737</f>
        <v>2.4489795918367347</v>
      </c>
      <c r="M737" s="1">
        <f>L737*Fórmulas!D$6</f>
        <v>857.14285714285711</v>
      </c>
    </row>
    <row r="738" spans="1:13" s="24" customFormat="1" x14ac:dyDescent="0.25">
      <c r="B738" s="26"/>
      <c r="C738" s="26"/>
      <c r="D738" s="26"/>
      <c r="E738" s="24">
        <v>0</v>
      </c>
      <c r="G738" s="1">
        <f>((Fórmulas!C$6/Fórmulas!D$6)/Fórmulas!E$6)*E738</f>
        <v>0</v>
      </c>
      <c r="H738" s="1">
        <f>G738*Fórmulas!B$9</f>
        <v>0</v>
      </c>
      <c r="I738" s="7">
        <f t="shared" si="23"/>
        <v>0</v>
      </c>
      <c r="K738" s="1">
        <v>1</v>
      </c>
      <c r="L738" s="1">
        <f>((Fórmulas!C$6/Fórmulas!D$6)/0.7)*K738</f>
        <v>2.4489795918367347</v>
      </c>
      <c r="M738" s="1">
        <f>L738*Fórmulas!D$6</f>
        <v>857.14285714285711</v>
      </c>
    </row>
    <row r="739" spans="1:13" s="24" customFormat="1" x14ac:dyDescent="0.25">
      <c r="B739" s="26"/>
      <c r="C739" s="26"/>
      <c r="D739" s="26"/>
      <c r="E739" s="24">
        <v>0</v>
      </c>
      <c r="G739" s="1">
        <f>((Fórmulas!C$6/Fórmulas!D$6)/Fórmulas!E$6)*E739</f>
        <v>0</v>
      </c>
      <c r="H739" s="1">
        <f>G739*Fórmulas!B$9</f>
        <v>0</v>
      </c>
      <c r="I739" s="7">
        <f t="shared" si="23"/>
        <v>0</v>
      </c>
      <c r="K739" s="1">
        <v>1</v>
      </c>
      <c r="L739" s="1">
        <f>((Fórmulas!C$6/Fórmulas!D$6)/0.7)*K739</f>
        <v>2.4489795918367347</v>
      </c>
      <c r="M739" s="1">
        <f>L739*Fórmulas!D$6</f>
        <v>857.14285714285711</v>
      </c>
    </row>
    <row r="740" spans="1:13" s="24" customFormat="1" x14ac:dyDescent="0.25">
      <c r="B740" s="26"/>
      <c r="C740" s="26"/>
      <c r="D740" s="26"/>
      <c r="E740" s="24">
        <v>0</v>
      </c>
      <c r="G740" s="1">
        <f>((Fórmulas!C$6/Fórmulas!D$6)/Fórmulas!E$6)*E740</f>
        <v>0</v>
      </c>
      <c r="H740" s="1">
        <f>G740*Fórmulas!B$9</f>
        <v>0</v>
      </c>
      <c r="I740" s="7">
        <f t="shared" si="23"/>
        <v>0</v>
      </c>
      <c r="K740" s="1">
        <v>1</v>
      </c>
      <c r="L740" s="1">
        <f>((Fórmulas!C$6/Fórmulas!D$6)/0.7)*K740</f>
        <v>2.4489795918367347</v>
      </c>
      <c r="M740" s="1">
        <f>L740*Fórmulas!D$6</f>
        <v>857.14285714285711</v>
      </c>
    </row>
    <row r="741" spans="1:13" s="24" customFormat="1" x14ac:dyDescent="0.25">
      <c r="B741" s="26"/>
      <c r="C741" s="26"/>
      <c r="D741" s="26"/>
      <c r="E741" s="24">
        <v>0</v>
      </c>
      <c r="G741" s="1">
        <f>((Fórmulas!C$6/Fórmulas!D$6)/Fórmulas!E$6)*E741</f>
        <v>0</v>
      </c>
      <c r="H741" s="1">
        <f>G741*Fórmulas!B$9</f>
        <v>0</v>
      </c>
      <c r="I741" s="7">
        <f t="shared" si="23"/>
        <v>0</v>
      </c>
      <c r="K741" s="1">
        <v>1</v>
      </c>
      <c r="L741" s="1">
        <f>((Fórmulas!C$6/Fórmulas!D$6)/0.7)*K741</f>
        <v>2.4489795918367347</v>
      </c>
      <c r="M741" s="1">
        <f>L741*Fórmulas!D$6</f>
        <v>857.14285714285711</v>
      </c>
    </row>
    <row r="742" spans="1:13" s="24" customFormat="1" x14ac:dyDescent="0.25">
      <c r="B742" s="26"/>
      <c r="C742" s="26"/>
      <c r="D742" s="26"/>
      <c r="E742" s="24">
        <v>0</v>
      </c>
      <c r="G742" s="1">
        <f>((Fórmulas!C$6/Fórmulas!D$6)/Fórmulas!E$6)*E742</f>
        <v>0</v>
      </c>
      <c r="H742" s="1">
        <f>G742*Fórmulas!B$9</f>
        <v>0</v>
      </c>
      <c r="I742" s="7">
        <f t="shared" si="23"/>
        <v>0</v>
      </c>
      <c r="K742" s="1">
        <v>1</v>
      </c>
      <c r="L742" s="1">
        <f>((Fórmulas!C$6/Fórmulas!D$6)/0.7)*K742</f>
        <v>2.4489795918367347</v>
      </c>
      <c r="M742" s="1">
        <f>L742*Fórmulas!D$6</f>
        <v>857.14285714285711</v>
      </c>
    </row>
    <row r="743" spans="1:13" s="24" customFormat="1" x14ac:dyDescent="0.25">
      <c r="B743" s="26"/>
      <c r="C743" s="26"/>
      <c r="D743" s="26"/>
      <c r="E743" s="24">
        <v>0</v>
      </c>
      <c r="G743" s="1">
        <f>((Fórmulas!C$6/Fórmulas!D$6)/Fórmulas!E$6)*E743</f>
        <v>0</v>
      </c>
      <c r="H743" s="1">
        <f>G743*Fórmulas!B$9</f>
        <v>0</v>
      </c>
      <c r="I743" s="7">
        <f t="shared" si="23"/>
        <v>0</v>
      </c>
      <c r="K743" s="1">
        <v>1</v>
      </c>
      <c r="L743" s="1">
        <f>((Fórmulas!C$6/Fórmulas!D$6)/0.7)*K743</f>
        <v>2.4489795918367347</v>
      </c>
      <c r="M743" s="1">
        <f>L743*Fórmulas!D$6</f>
        <v>857.14285714285711</v>
      </c>
    </row>
    <row r="744" spans="1:13" s="24" customFormat="1" x14ac:dyDescent="0.25">
      <c r="B744" s="26"/>
      <c r="C744" s="26"/>
      <c r="D744" s="26"/>
      <c r="E744" s="24">
        <v>0</v>
      </c>
      <c r="G744" s="1">
        <f>((Fórmulas!C$6/Fórmulas!D$6)/Fórmulas!E$6)*E744</f>
        <v>0</v>
      </c>
      <c r="H744" s="1">
        <f>G744*Fórmulas!B$9</f>
        <v>0</v>
      </c>
      <c r="I744" s="7">
        <f t="shared" si="23"/>
        <v>0</v>
      </c>
      <c r="K744" s="1">
        <v>1</v>
      </c>
      <c r="L744" s="1">
        <f>((Fórmulas!C$6/Fórmulas!D$6)/0.7)*K744</f>
        <v>2.4489795918367347</v>
      </c>
      <c r="M744" s="1">
        <f>L744*Fórmulas!D$6</f>
        <v>857.14285714285711</v>
      </c>
    </row>
    <row r="745" spans="1:13" x14ac:dyDescent="0.25">
      <c r="A745" s="11"/>
      <c r="B745" s="26"/>
      <c r="C745" s="26"/>
      <c r="D745" s="26"/>
      <c r="E745" s="11">
        <v>0</v>
      </c>
      <c r="G745" s="1">
        <f>((Fórmulas!C$6/Fórmulas!D$6)/Fórmulas!E$6)*E745</f>
        <v>0</v>
      </c>
      <c r="H745" s="1">
        <f>G745*Fórmulas!B$9</f>
        <v>0</v>
      </c>
      <c r="I745" s="7">
        <f t="shared" si="22"/>
        <v>0</v>
      </c>
      <c r="J745" s="4"/>
      <c r="K745" s="1">
        <v>1</v>
      </c>
      <c r="L745" s="1">
        <f>((Fórmulas!C$6/Fórmulas!D$6)/0.7)*K745</f>
        <v>2.4489795918367347</v>
      </c>
      <c r="M745" s="1">
        <f>L745*Fórmulas!D$6</f>
        <v>857.14285714285711</v>
      </c>
    </row>
    <row r="746" spans="1:13" x14ac:dyDescent="0.25">
      <c r="A746" s="11" t="s">
        <v>396</v>
      </c>
      <c r="B746" s="26" t="s">
        <v>397</v>
      </c>
      <c r="C746" s="26"/>
      <c r="D746" s="26"/>
      <c r="E746" s="11">
        <v>17.899999999999999</v>
      </c>
      <c r="G746" s="1">
        <f>((Fórmulas!C$6/Fórmulas!D$6)/Fórmulas!E$6)*E746</f>
        <v>43.836734693877546</v>
      </c>
      <c r="H746" s="1">
        <f>G746*Fórmulas!B$9</f>
        <v>15342.857142857141</v>
      </c>
      <c r="I746" s="7">
        <f t="shared" si="22"/>
        <v>29.833333333333332</v>
      </c>
      <c r="J746" s="4"/>
      <c r="K746" s="1">
        <v>1</v>
      </c>
      <c r="L746" s="1">
        <f>((Fórmulas!C$6/Fórmulas!D$6)/0.7)*K746</f>
        <v>2.4489795918367347</v>
      </c>
      <c r="M746" s="1">
        <f>L746*Fórmulas!D$6</f>
        <v>857.14285714285711</v>
      </c>
    </row>
    <row r="747" spans="1:13" x14ac:dyDescent="0.25">
      <c r="A747" s="11" t="s">
        <v>396</v>
      </c>
      <c r="B747" s="26" t="s">
        <v>407</v>
      </c>
      <c r="C747" s="26"/>
      <c r="D747" s="26"/>
      <c r="E747" s="11">
        <v>11.9</v>
      </c>
      <c r="G747" s="1">
        <f>((Fórmulas!C$6/Fórmulas!D$6)/Fórmulas!E$6)*E747</f>
        <v>29.142857142857146</v>
      </c>
      <c r="H747" s="1">
        <f>G747*Fórmulas!B$9</f>
        <v>10200.000000000002</v>
      </c>
      <c r="I747" s="7">
        <f t="shared" si="22"/>
        <v>19.833333333333336</v>
      </c>
      <c r="J747" s="4"/>
      <c r="K747" s="1">
        <v>1</v>
      </c>
      <c r="L747" s="1">
        <f>((Fórmulas!C$6/Fórmulas!D$6)/0.7)*K747</f>
        <v>2.4489795918367347</v>
      </c>
      <c r="M747" s="1">
        <f>L747*Fórmulas!D$6</f>
        <v>857.14285714285711</v>
      </c>
    </row>
    <row r="748" spans="1:13" x14ac:dyDescent="0.25">
      <c r="A748" s="11" t="s">
        <v>396</v>
      </c>
      <c r="B748" s="26" t="s">
        <v>408</v>
      </c>
      <c r="C748" s="26"/>
      <c r="D748" s="26"/>
      <c r="E748" s="11">
        <v>10.35</v>
      </c>
      <c r="G748" s="1">
        <f>((Fórmulas!C$6/Fórmulas!D$6)/Fórmulas!E$6)*E748</f>
        <v>25.346938775510203</v>
      </c>
      <c r="H748" s="1">
        <f>G748*Fórmulas!B$9</f>
        <v>8871.4285714285706</v>
      </c>
      <c r="I748" s="7">
        <f t="shared" si="22"/>
        <v>17.25</v>
      </c>
      <c r="J748" s="4"/>
      <c r="K748" s="1">
        <v>1</v>
      </c>
      <c r="L748" s="1">
        <f>((Fórmulas!C$6/Fórmulas!D$6)/0.7)*K748</f>
        <v>2.4489795918367347</v>
      </c>
      <c r="M748" s="1">
        <f>L748*Fórmulas!D$6</f>
        <v>857.14285714285711</v>
      </c>
    </row>
    <row r="749" spans="1:13" x14ac:dyDescent="0.25">
      <c r="A749" s="11" t="s">
        <v>396</v>
      </c>
      <c r="B749" s="25" t="s">
        <v>409</v>
      </c>
      <c r="C749" s="25"/>
      <c r="D749" s="25"/>
      <c r="E749" s="11">
        <v>10.35</v>
      </c>
      <c r="G749" s="1">
        <f>((Fórmulas!C$6/Fórmulas!D$6)/Fórmulas!E$6)*E749</f>
        <v>25.346938775510203</v>
      </c>
      <c r="H749" s="1">
        <f>G749*Fórmulas!B$9</f>
        <v>8871.4285714285706</v>
      </c>
      <c r="I749" s="7">
        <f t="shared" si="22"/>
        <v>17.25</v>
      </c>
      <c r="J749" s="4"/>
      <c r="K749" s="1">
        <v>1</v>
      </c>
      <c r="L749" s="1">
        <f>((Fórmulas!C$6/Fórmulas!D$6)/0.7)*K749</f>
        <v>2.4489795918367347</v>
      </c>
      <c r="M749" s="1">
        <f>L749*Fórmulas!D$6</f>
        <v>857.14285714285711</v>
      </c>
    </row>
    <row r="750" spans="1:13" x14ac:dyDescent="0.25">
      <c r="A750" s="11" t="s">
        <v>396</v>
      </c>
      <c r="B750" s="25" t="s">
        <v>415</v>
      </c>
      <c r="C750" s="25"/>
      <c r="D750" s="25"/>
      <c r="E750" s="11">
        <v>17.899999999999999</v>
      </c>
      <c r="G750" s="1">
        <f>((Fórmulas!C$6/Fórmulas!D$6)/Fórmulas!E$6)*E750</f>
        <v>43.836734693877546</v>
      </c>
      <c r="H750" s="1">
        <f>G750*Fórmulas!B$9</f>
        <v>15342.857142857141</v>
      </c>
      <c r="I750" s="7">
        <f t="shared" si="22"/>
        <v>29.833333333333332</v>
      </c>
      <c r="J750" s="4"/>
      <c r="K750" s="1">
        <v>1</v>
      </c>
      <c r="L750" s="1">
        <f>((Fórmulas!C$6/Fórmulas!D$6)/0.7)*K750</f>
        <v>2.4489795918367347</v>
      </c>
      <c r="M750" s="1">
        <f>L750*Fórmulas!D$6</f>
        <v>857.14285714285711</v>
      </c>
    </row>
    <row r="751" spans="1:13" x14ac:dyDescent="0.25">
      <c r="A751" s="11" t="s">
        <v>396</v>
      </c>
      <c r="B751" s="25" t="s">
        <v>416</v>
      </c>
      <c r="C751" s="25"/>
      <c r="D751" s="25"/>
      <c r="E751" s="11">
        <v>17.899999999999999</v>
      </c>
      <c r="G751" s="1">
        <f>((Fórmulas!C$6/Fórmulas!D$6)/Fórmulas!E$6)*E751</f>
        <v>43.836734693877546</v>
      </c>
      <c r="H751" s="1">
        <f>G751*Fórmulas!B$9</f>
        <v>15342.857142857141</v>
      </c>
      <c r="I751" s="7">
        <f t="shared" si="22"/>
        <v>29.833333333333332</v>
      </c>
      <c r="J751" s="4"/>
      <c r="K751" s="1">
        <v>1</v>
      </c>
      <c r="L751" s="1">
        <f>((Fórmulas!C$6/Fórmulas!D$6)/0.7)*K751</f>
        <v>2.4489795918367347</v>
      </c>
      <c r="M751" s="1">
        <f>L751*Fórmulas!D$6</f>
        <v>857.14285714285711</v>
      </c>
    </row>
    <row r="752" spans="1:13" x14ac:dyDescent="0.25">
      <c r="A752" s="11" t="s">
        <v>396</v>
      </c>
      <c r="B752" s="25" t="s">
        <v>428</v>
      </c>
      <c r="C752" s="25"/>
      <c r="D752" s="25"/>
      <c r="E752" s="11">
        <v>18.25</v>
      </c>
      <c r="G752" s="1">
        <f>((Fórmulas!C$6/Fórmulas!D$6)/Fórmulas!E$6)*E752</f>
        <v>44.693877551020407</v>
      </c>
      <c r="H752" s="1">
        <f>G752*Fórmulas!B$9</f>
        <v>15642.857142857143</v>
      </c>
      <c r="I752" s="7">
        <f t="shared" si="22"/>
        <v>30.416666666666668</v>
      </c>
      <c r="J752" s="4"/>
      <c r="K752" s="1">
        <v>1</v>
      </c>
      <c r="L752" s="1">
        <f>((Fórmulas!C$6/Fórmulas!D$6)/0.7)*K752</f>
        <v>2.4489795918367347</v>
      </c>
      <c r="M752" s="1">
        <f>L752*Fórmulas!D$6</f>
        <v>857.14285714285711</v>
      </c>
    </row>
    <row r="753" spans="1:13" x14ac:dyDescent="0.25">
      <c r="A753" s="11" t="s">
        <v>396</v>
      </c>
      <c r="B753" s="25" t="s">
        <v>429</v>
      </c>
      <c r="C753" s="25"/>
      <c r="D753" s="25"/>
      <c r="E753" s="11">
        <v>18.25</v>
      </c>
      <c r="G753" s="1">
        <f>((Fórmulas!C$6/Fórmulas!D$6)/Fórmulas!E$6)*E753</f>
        <v>44.693877551020407</v>
      </c>
      <c r="H753" s="1">
        <f>G753*Fórmulas!B$9</f>
        <v>15642.857142857143</v>
      </c>
      <c r="I753" s="7">
        <f t="shared" si="22"/>
        <v>30.416666666666668</v>
      </c>
      <c r="J753" s="4"/>
      <c r="K753" s="1">
        <v>1</v>
      </c>
      <c r="L753" s="1">
        <f>((Fórmulas!C$6/Fórmulas!D$6)/0.7)*K753</f>
        <v>2.4489795918367347</v>
      </c>
      <c r="M753" s="1">
        <f>L753*Fórmulas!D$6</f>
        <v>857.14285714285711</v>
      </c>
    </row>
    <row r="754" spans="1:13" x14ac:dyDescent="0.25">
      <c r="A754" s="11" t="s">
        <v>396</v>
      </c>
      <c r="B754" s="25" t="s">
        <v>430</v>
      </c>
      <c r="C754" s="25"/>
      <c r="D754" s="25"/>
      <c r="E754" s="11">
        <v>18.25</v>
      </c>
      <c r="G754" s="1">
        <f>((Fórmulas!C$6/Fórmulas!D$6)/Fórmulas!E$6)*E754</f>
        <v>44.693877551020407</v>
      </c>
      <c r="H754" s="1">
        <f>G754*Fórmulas!B$9</f>
        <v>15642.857142857143</v>
      </c>
      <c r="I754" s="7">
        <f t="shared" si="22"/>
        <v>30.416666666666668</v>
      </c>
      <c r="J754" s="4"/>
      <c r="K754" s="1">
        <v>1</v>
      </c>
      <c r="L754" s="1">
        <f>((Fórmulas!C$6/Fórmulas!D$6)/0.7)*K754</f>
        <v>2.4489795918367347</v>
      </c>
      <c r="M754" s="1">
        <f>L754*Fórmulas!D$6</f>
        <v>857.14285714285711</v>
      </c>
    </row>
    <row r="755" spans="1:13" x14ac:dyDescent="0.25">
      <c r="A755" s="11"/>
      <c r="B755" s="26"/>
      <c r="C755" s="26"/>
      <c r="D755" s="26"/>
      <c r="E755" s="11">
        <v>0</v>
      </c>
      <c r="G755" s="1">
        <f>((Fórmulas!C$6/Fórmulas!D$6)/Fórmulas!E$6)*E755</f>
        <v>0</v>
      </c>
      <c r="H755" s="1">
        <f>G755*Fórmulas!B$9</f>
        <v>0</v>
      </c>
      <c r="I755" s="7">
        <f t="shared" si="22"/>
        <v>0</v>
      </c>
      <c r="J755" s="4"/>
      <c r="K755" s="1">
        <v>1</v>
      </c>
      <c r="L755" s="1">
        <f>((Fórmulas!C$6/Fórmulas!D$6)/0.7)*K755</f>
        <v>2.4489795918367347</v>
      </c>
      <c r="M755" s="1">
        <f>L755*Fórmulas!D$6</f>
        <v>857.14285714285711</v>
      </c>
    </row>
    <row r="756" spans="1:13" x14ac:dyDescent="0.25">
      <c r="A756" s="11"/>
      <c r="B756" s="26"/>
      <c r="C756" s="26"/>
      <c r="D756" s="26"/>
      <c r="E756" s="11">
        <v>0</v>
      </c>
      <c r="G756" s="1">
        <f>((Fórmulas!C$6/Fórmulas!D$6)/Fórmulas!E$6)*E756</f>
        <v>0</v>
      </c>
      <c r="H756" s="1">
        <f>G756*Fórmulas!B$9</f>
        <v>0</v>
      </c>
      <c r="I756" s="7">
        <f t="shared" si="22"/>
        <v>0</v>
      </c>
      <c r="J756" s="4"/>
      <c r="K756" s="1">
        <v>1</v>
      </c>
      <c r="L756" s="1">
        <f>((Fórmulas!C$6/Fórmulas!D$6)/0.7)*K756</f>
        <v>2.4489795918367347</v>
      </c>
      <c r="M756" s="1">
        <f>L756*Fórmulas!D$6</f>
        <v>857.14285714285711</v>
      </c>
    </row>
    <row r="757" spans="1:13" x14ac:dyDescent="0.25">
      <c r="A757" s="11"/>
      <c r="B757" s="26"/>
      <c r="C757" s="26"/>
      <c r="D757" s="26"/>
      <c r="E757" s="11">
        <v>0</v>
      </c>
      <c r="G757" s="1">
        <f>((Fórmulas!C$6/Fórmulas!D$6)/Fórmulas!E$6)*E757</f>
        <v>0</v>
      </c>
      <c r="H757" s="1">
        <f>G757*Fórmulas!B$9</f>
        <v>0</v>
      </c>
      <c r="I757" s="7">
        <f t="shared" si="22"/>
        <v>0</v>
      </c>
      <c r="J757" s="4"/>
      <c r="K757" s="1">
        <v>1</v>
      </c>
      <c r="L757" s="1">
        <f>((Fórmulas!C$6/Fórmulas!D$6)/0.7)*K757</f>
        <v>2.4489795918367347</v>
      </c>
      <c r="M757" s="1">
        <f>L757*Fórmulas!D$6</f>
        <v>857.14285714285711</v>
      </c>
    </row>
    <row r="758" spans="1:13" x14ac:dyDescent="0.25">
      <c r="A758" s="11"/>
      <c r="B758" s="26"/>
      <c r="C758" s="26"/>
      <c r="D758" s="26"/>
      <c r="E758" s="11">
        <v>0</v>
      </c>
      <c r="G758" s="1">
        <f>((Fórmulas!C$6/Fórmulas!D$6)/Fórmulas!E$6)*E758</f>
        <v>0</v>
      </c>
      <c r="H758" s="1">
        <f>G758*Fórmulas!B$9</f>
        <v>0</v>
      </c>
      <c r="I758" s="7">
        <f t="shared" si="22"/>
        <v>0</v>
      </c>
      <c r="J758" s="4"/>
      <c r="K758" s="1">
        <v>1</v>
      </c>
      <c r="L758" s="1">
        <f>((Fórmulas!C$6/Fórmulas!D$6)/0.7)*K758</f>
        <v>2.4489795918367347</v>
      </c>
      <c r="M758" s="1">
        <f>L758*Fórmulas!D$6</f>
        <v>857.14285714285711</v>
      </c>
    </row>
    <row r="759" spans="1:13" x14ac:dyDescent="0.25">
      <c r="A759" s="11"/>
      <c r="B759" s="26"/>
      <c r="C759" s="26"/>
      <c r="D759" s="26"/>
      <c r="E759" s="11">
        <v>0</v>
      </c>
      <c r="G759" s="1">
        <f>((Fórmulas!C$6/Fórmulas!D$6)/Fórmulas!E$6)*E759</f>
        <v>0</v>
      </c>
      <c r="H759" s="1">
        <f>G759*Fórmulas!B$9</f>
        <v>0</v>
      </c>
      <c r="I759" s="7">
        <f t="shared" si="22"/>
        <v>0</v>
      </c>
      <c r="J759" s="4"/>
      <c r="K759" s="1">
        <v>1</v>
      </c>
      <c r="L759" s="1">
        <f>((Fórmulas!C$6/Fórmulas!D$6)/0.7)*K759</f>
        <v>2.4489795918367347</v>
      </c>
      <c r="M759" s="1">
        <f>L759*Fórmulas!D$6</f>
        <v>857.14285714285711</v>
      </c>
    </row>
    <row r="760" spans="1:13" x14ac:dyDescent="0.25">
      <c r="A760" s="11"/>
      <c r="B760" s="26"/>
      <c r="C760" s="26"/>
      <c r="D760" s="26"/>
      <c r="E760" s="11">
        <v>0</v>
      </c>
      <c r="G760" s="1">
        <f>((Fórmulas!C$6/Fórmulas!D$6)/Fórmulas!E$6)*E760</f>
        <v>0</v>
      </c>
      <c r="H760" s="1">
        <f>G760*Fórmulas!B$9</f>
        <v>0</v>
      </c>
      <c r="I760" s="7">
        <f t="shared" si="22"/>
        <v>0</v>
      </c>
      <c r="J760" s="4"/>
      <c r="K760" s="1">
        <v>1</v>
      </c>
      <c r="L760" s="1">
        <f>((Fórmulas!C$6/Fórmulas!D$6)/0.7)*K760</f>
        <v>2.4489795918367347</v>
      </c>
      <c r="M760" s="1">
        <f>L760*Fórmulas!D$6</f>
        <v>857.14285714285711</v>
      </c>
    </row>
    <row r="761" spans="1:13" x14ac:dyDescent="0.25">
      <c r="A761" s="11" t="s">
        <v>638</v>
      </c>
      <c r="B761" s="26" t="s">
        <v>639</v>
      </c>
      <c r="C761" s="26"/>
      <c r="D761" s="26"/>
      <c r="E761" s="11">
        <v>4.2</v>
      </c>
      <c r="G761" s="1">
        <f>((Fórmulas!C$6/Fórmulas!D$6)/Fórmulas!E$6)*E761</f>
        <v>10.285714285714286</v>
      </c>
      <c r="H761" s="1">
        <f>G761*Fórmulas!B$9</f>
        <v>3600.0000000000005</v>
      </c>
      <c r="I761" s="7">
        <f t="shared" si="22"/>
        <v>7.0000000000000009</v>
      </c>
      <c r="J761" s="4"/>
      <c r="K761" s="1">
        <v>1</v>
      </c>
      <c r="L761" s="1">
        <f>((Fórmulas!C$6/Fórmulas!D$6)/0.7)*K761</f>
        <v>2.4489795918367347</v>
      </c>
      <c r="M761" s="1">
        <f>L761*Fórmulas!D$6</f>
        <v>857.14285714285711</v>
      </c>
    </row>
    <row r="762" spans="1:13" x14ac:dyDescent="0.25">
      <c r="A762" s="11" t="s">
        <v>638</v>
      </c>
      <c r="B762" s="25" t="s">
        <v>640</v>
      </c>
      <c r="C762" s="25"/>
      <c r="D762" s="25"/>
      <c r="E762" s="11">
        <v>4.2</v>
      </c>
      <c r="G762" s="1">
        <f>((Fórmulas!C$6/Fórmulas!D$6)/Fórmulas!E$6)*E762</f>
        <v>10.285714285714286</v>
      </c>
      <c r="H762" s="1">
        <f>G762*Fórmulas!B$9</f>
        <v>3600.0000000000005</v>
      </c>
      <c r="I762" s="7">
        <f t="shared" si="22"/>
        <v>7.0000000000000009</v>
      </c>
      <c r="J762" s="4"/>
      <c r="K762" s="1">
        <v>1</v>
      </c>
      <c r="L762" s="1">
        <f>((Fórmulas!C$6/Fórmulas!D$6)/0.7)*K762</f>
        <v>2.4489795918367347</v>
      </c>
      <c r="M762" s="1">
        <f>L762*Fórmulas!D$6</f>
        <v>857.14285714285711</v>
      </c>
    </row>
    <row r="763" spans="1:13" x14ac:dyDescent="0.25">
      <c r="A763" s="11" t="s">
        <v>638</v>
      </c>
      <c r="B763" s="26" t="s">
        <v>641</v>
      </c>
      <c r="C763" s="26"/>
      <c r="D763" s="26"/>
      <c r="E763" s="11">
        <v>4.2</v>
      </c>
      <c r="G763" s="1">
        <f>((Fórmulas!C$6/Fórmulas!D$6)/Fórmulas!E$6)*E763</f>
        <v>10.285714285714286</v>
      </c>
      <c r="H763" s="1">
        <f>G763*Fórmulas!B$9</f>
        <v>3600.0000000000005</v>
      </c>
      <c r="I763" s="7">
        <f t="shared" si="22"/>
        <v>7.0000000000000009</v>
      </c>
      <c r="J763" s="4"/>
      <c r="K763" s="1">
        <v>1</v>
      </c>
      <c r="L763" s="1">
        <f>((Fórmulas!C$6/Fórmulas!D$6)/0.7)*K763</f>
        <v>2.4489795918367347</v>
      </c>
      <c r="M763" s="1">
        <f>L763*Fórmulas!D$6</f>
        <v>857.14285714285711</v>
      </c>
    </row>
    <row r="764" spans="1:13" x14ac:dyDescent="0.25">
      <c r="A764" s="11" t="s">
        <v>638</v>
      </c>
      <c r="B764" s="25" t="s">
        <v>642</v>
      </c>
      <c r="C764" s="25"/>
      <c r="D764" s="25"/>
      <c r="E764" s="11">
        <v>4.2</v>
      </c>
      <c r="G764" s="1">
        <f>((Fórmulas!C$6/Fórmulas!D$6)/Fórmulas!E$6)*E764</f>
        <v>10.285714285714286</v>
      </c>
      <c r="H764" s="1">
        <f>G764*Fórmulas!B$9</f>
        <v>3600.0000000000005</v>
      </c>
      <c r="I764" s="7">
        <f t="shared" si="22"/>
        <v>7.0000000000000009</v>
      </c>
      <c r="J764" s="4"/>
      <c r="K764" s="1">
        <v>1</v>
      </c>
      <c r="L764" s="1">
        <f>((Fórmulas!C$6/Fórmulas!D$6)/0.7)*K764</f>
        <v>2.4489795918367347</v>
      </c>
      <c r="M764" s="1">
        <f>L764*Fórmulas!D$6</f>
        <v>857.14285714285711</v>
      </c>
    </row>
    <row r="765" spans="1:13" x14ac:dyDescent="0.25">
      <c r="A765" s="11"/>
      <c r="B765" s="26"/>
      <c r="C765" s="26"/>
      <c r="D765" s="26"/>
      <c r="E765" s="11">
        <v>0</v>
      </c>
      <c r="G765" s="1">
        <f>((Fórmulas!C$6/Fórmulas!D$6)/Fórmulas!E$6)*E765</f>
        <v>0</v>
      </c>
      <c r="H765" s="1">
        <f>G765*Fórmulas!B$9</f>
        <v>0</v>
      </c>
      <c r="I765" s="7">
        <f t="shared" si="22"/>
        <v>0</v>
      </c>
      <c r="J765" s="4"/>
      <c r="K765" s="1">
        <v>1</v>
      </c>
      <c r="L765" s="1">
        <f>((Fórmulas!C$6/Fórmulas!D$6)/0.7)*K765</f>
        <v>2.4489795918367347</v>
      </c>
      <c r="M765" s="1">
        <f>L765*Fórmulas!D$6</f>
        <v>857.14285714285711</v>
      </c>
    </row>
    <row r="766" spans="1:13" x14ac:dyDescent="0.25">
      <c r="A766" s="11"/>
      <c r="B766" s="26"/>
      <c r="C766" s="26"/>
      <c r="D766" s="26"/>
      <c r="E766" s="11">
        <v>0</v>
      </c>
      <c r="G766" s="1">
        <f>((Fórmulas!C$6/Fórmulas!D$6)/Fórmulas!E$6)*E766</f>
        <v>0</v>
      </c>
      <c r="H766" s="1">
        <f>G766*Fórmulas!B$9</f>
        <v>0</v>
      </c>
      <c r="I766" s="7">
        <f t="shared" si="22"/>
        <v>0</v>
      </c>
      <c r="J766" s="4"/>
      <c r="K766" s="1">
        <v>1</v>
      </c>
      <c r="L766" s="1">
        <f>((Fórmulas!C$6/Fórmulas!D$6)/0.7)*K766</f>
        <v>2.4489795918367347</v>
      </c>
      <c r="M766" s="1">
        <f>L766*Fórmulas!D$6</f>
        <v>857.14285714285711</v>
      </c>
    </row>
    <row r="767" spans="1:13" x14ac:dyDescent="0.25">
      <c r="A767" s="11"/>
      <c r="B767" s="26"/>
      <c r="C767" s="26"/>
      <c r="D767" s="26"/>
      <c r="E767" s="11">
        <v>0</v>
      </c>
      <c r="G767" s="1">
        <f>((Fórmulas!C$6/Fórmulas!D$6)/Fórmulas!E$6)*E767</f>
        <v>0</v>
      </c>
      <c r="H767" s="1">
        <f>G767*Fórmulas!B$9</f>
        <v>0</v>
      </c>
      <c r="I767" s="7">
        <f t="shared" si="22"/>
        <v>0</v>
      </c>
      <c r="J767" s="4"/>
      <c r="K767" s="1">
        <v>1</v>
      </c>
      <c r="L767" s="1">
        <f>((Fórmulas!C$6/Fórmulas!D$6)/0.7)*K767</f>
        <v>2.4489795918367347</v>
      </c>
      <c r="M767" s="1">
        <f>L767*Fórmulas!D$6</f>
        <v>857.14285714285711</v>
      </c>
    </row>
    <row r="768" spans="1:13" x14ac:dyDescent="0.25">
      <c r="A768" s="11"/>
      <c r="B768" s="26"/>
      <c r="C768" s="26"/>
      <c r="D768" s="26"/>
      <c r="E768" s="11">
        <v>0</v>
      </c>
      <c r="G768" s="1">
        <f>((Fórmulas!C$6/Fórmulas!D$6)/Fórmulas!E$6)*E768</f>
        <v>0</v>
      </c>
      <c r="H768" s="1">
        <f>G768*Fórmulas!B$9</f>
        <v>0</v>
      </c>
      <c r="I768" s="7">
        <f t="shared" si="22"/>
        <v>0</v>
      </c>
      <c r="J768" s="4"/>
      <c r="K768" s="1">
        <v>1</v>
      </c>
      <c r="L768" s="1">
        <f>((Fórmulas!C$6/Fórmulas!D$6)/0.7)*K768</f>
        <v>2.4489795918367347</v>
      </c>
      <c r="M768" s="1">
        <f>L768*Fórmulas!D$6</f>
        <v>857.14285714285711</v>
      </c>
    </row>
    <row r="769" spans="1:13" x14ac:dyDescent="0.25">
      <c r="A769" s="11" t="s">
        <v>552</v>
      </c>
      <c r="B769" s="26" t="s">
        <v>808</v>
      </c>
      <c r="C769" s="26"/>
      <c r="D769" s="26"/>
      <c r="E769" s="11">
        <v>5.4</v>
      </c>
      <c r="G769" s="1">
        <f>((Fórmulas!C$6/Fórmulas!D$6)/Fórmulas!E$6)*E769</f>
        <v>13.224489795918368</v>
      </c>
      <c r="H769" s="1">
        <f>G769*Fórmulas!B$9</f>
        <v>4628.5714285714284</v>
      </c>
      <c r="I769" s="7">
        <f t="shared" si="22"/>
        <v>9.0000000000000018</v>
      </c>
      <c r="J769" s="4"/>
      <c r="K769" s="1">
        <v>1</v>
      </c>
      <c r="L769" s="1">
        <f>((Fórmulas!C$6/Fórmulas!D$6)/0.7)*K769</f>
        <v>2.4489795918367347</v>
      </c>
      <c r="M769" s="1">
        <f>L769*Fórmulas!D$6</f>
        <v>857.14285714285711</v>
      </c>
    </row>
    <row r="770" spans="1:13" x14ac:dyDescent="0.25">
      <c r="A770" s="22" t="s">
        <v>552</v>
      </c>
      <c r="B770" s="26" t="s">
        <v>809</v>
      </c>
      <c r="C770" s="26"/>
      <c r="D770" s="26"/>
      <c r="E770" s="11">
        <v>8.1999999999999993</v>
      </c>
      <c r="G770" s="1">
        <f>((Fórmulas!C$6/Fórmulas!D$6)/Fórmulas!E$6)*E770</f>
        <v>20.081632653061224</v>
      </c>
      <c r="H770" s="1">
        <f>G770*Fórmulas!B$9</f>
        <v>7028.5714285714284</v>
      </c>
      <c r="I770" s="7">
        <f t="shared" si="22"/>
        <v>13.666666666666666</v>
      </c>
      <c r="J770" s="4"/>
      <c r="K770" s="1">
        <v>1</v>
      </c>
      <c r="L770" s="1">
        <f>((Fórmulas!C$6/Fórmulas!D$6)/0.7)*K770</f>
        <v>2.4489795918367347</v>
      </c>
      <c r="M770" s="1">
        <f>L770*Fórmulas!D$6</f>
        <v>857.14285714285711</v>
      </c>
    </row>
    <row r="771" spans="1:13" x14ac:dyDescent="0.25">
      <c r="A771" s="22" t="s">
        <v>552</v>
      </c>
      <c r="B771" s="26" t="s">
        <v>810</v>
      </c>
      <c r="C771" s="26"/>
      <c r="D771" s="26"/>
      <c r="E771" s="11">
        <v>4.0999999999999996</v>
      </c>
      <c r="G771" s="1">
        <f>((Fórmulas!C$6/Fórmulas!D$6)/Fórmulas!E$6)*E771</f>
        <v>10.040816326530612</v>
      </c>
      <c r="H771" s="1">
        <f>G771*Fórmulas!B$9</f>
        <v>3514.2857142857142</v>
      </c>
      <c r="I771" s="7">
        <f t="shared" si="22"/>
        <v>6.833333333333333</v>
      </c>
      <c r="J771" s="4"/>
      <c r="K771" s="1">
        <v>1</v>
      </c>
      <c r="L771" s="1">
        <f>((Fórmulas!C$6/Fórmulas!D$6)/0.7)*K771</f>
        <v>2.4489795918367347</v>
      </c>
      <c r="M771" s="1">
        <f>L771*Fórmulas!D$6</f>
        <v>857.14285714285711</v>
      </c>
    </row>
    <row r="772" spans="1:13" x14ac:dyDescent="0.25">
      <c r="A772" s="22" t="s">
        <v>552</v>
      </c>
      <c r="B772" s="25" t="s">
        <v>811</v>
      </c>
      <c r="C772" s="25"/>
      <c r="D772" s="25"/>
      <c r="E772" s="11">
        <v>5.4</v>
      </c>
      <c r="G772" s="1">
        <f>((Fórmulas!C$6/Fórmulas!D$6)/Fórmulas!E$6)*E772</f>
        <v>13.224489795918368</v>
      </c>
      <c r="H772" s="1">
        <f>G772*Fórmulas!B$9</f>
        <v>4628.5714285714284</v>
      </c>
      <c r="I772" s="7">
        <f t="shared" si="22"/>
        <v>9.0000000000000018</v>
      </c>
      <c r="J772" s="4"/>
      <c r="K772" s="1">
        <v>1</v>
      </c>
      <c r="L772" s="1">
        <f>((Fórmulas!C$6/Fórmulas!D$6)/0.7)*K772</f>
        <v>2.4489795918367347</v>
      </c>
      <c r="M772" s="1">
        <f>L772*Fórmulas!D$6</f>
        <v>857.14285714285711</v>
      </c>
    </row>
    <row r="773" spans="1:13" x14ac:dyDescent="0.25">
      <c r="A773" s="22" t="s">
        <v>552</v>
      </c>
      <c r="B773" s="25" t="s">
        <v>812</v>
      </c>
      <c r="C773" s="25"/>
      <c r="D773" s="25"/>
      <c r="E773" s="11">
        <v>7</v>
      </c>
      <c r="G773" s="1">
        <f>((Fórmulas!C$6/Fórmulas!D$6)/Fórmulas!E$6)*E773</f>
        <v>17.142857142857142</v>
      </c>
      <c r="H773" s="1">
        <f>G773*Fórmulas!B$9</f>
        <v>6000</v>
      </c>
      <c r="I773" s="7">
        <f t="shared" si="22"/>
        <v>11.666666666666668</v>
      </c>
      <c r="J773" s="4"/>
      <c r="K773" s="1">
        <v>1</v>
      </c>
      <c r="L773" s="1">
        <f>((Fórmulas!C$6/Fórmulas!D$6)/0.7)*K773</f>
        <v>2.4489795918367347</v>
      </c>
      <c r="M773" s="1">
        <f>L773*Fórmulas!D$6</f>
        <v>857.14285714285711</v>
      </c>
    </row>
    <row r="774" spans="1:13" x14ac:dyDescent="0.25">
      <c r="A774" s="22" t="s">
        <v>552</v>
      </c>
      <c r="B774" s="25" t="s">
        <v>813</v>
      </c>
      <c r="C774" s="25"/>
      <c r="D774" s="25"/>
      <c r="E774" s="11">
        <v>4.0999999999999996</v>
      </c>
      <c r="G774" s="1">
        <f>((Fórmulas!C$6/Fórmulas!D$6)/Fórmulas!E$6)*E774</f>
        <v>10.040816326530612</v>
      </c>
      <c r="H774" s="1">
        <f>G774*Fórmulas!B$9</f>
        <v>3514.2857142857142</v>
      </c>
      <c r="I774" s="7">
        <f t="shared" si="22"/>
        <v>6.833333333333333</v>
      </c>
      <c r="J774" s="4"/>
      <c r="K774" s="1">
        <v>1</v>
      </c>
      <c r="L774" s="1">
        <f>((Fórmulas!C$6/Fórmulas!D$6)/0.7)*K774</f>
        <v>2.4489795918367347</v>
      </c>
      <c r="M774" s="1">
        <f>L774*Fórmulas!D$6</f>
        <v>857.14285714285711</v>
      </c>
    </row>
    <row r="775" spans="1:13" x14ac:dyDescent="0.25">
      <c r="A775" s="11"/>
      <c r="B775" s="26"/>
      <c r="C775" s="26"/>
      <c r="D775" s="26"/>
      <c r="E775" s="11">
        <v>0</v>
      </c>
      <c r="G775" s="1">
        <f>((Fórmulas!C$6/Fórmulas!D$6)/Fórmulas!E$6)*E775</f>
        <v>0</v>
      </c>
      <c r="H775" s="1">
        <f>G775*Fórmulas!B$9</f>
        <v>0</v>
      </c>
      <c r="I775" s="7">
        <f t="shared" si="22"/>
        <v>0</v>
      </c>
      <c r="J775" s="4"/>
      <c r="K775" s="1">
        <v>1</v>
      </c>
      <c r="L775" s="1">
        <f>((Fórmulas!C$6/Fórmulas!D$6)/0.7)*K775</f>
        <v>2.4489795918367347</v>
      </c>
      <c r="M775" s="1">
        <f>L775*Fórmulas!D$6</f>
        <v>857.14285714285711</v>
      </c>
    </row>
    <row r="776" spans="1:13" x14ac:dyDescent="0.25">
      <c r="A776" s="11"/>
      <c r="B776" s="26"/>
      <c r="C776" s="26"/>
      <c r="D776" s="26"/>
      <c r="E776" s="11">
        <v>0</v>
      </c>
      <c r="G776" s="1">
        <f>((Fórmulas!C$6/Fórmulas!D$6)/Fórmulas!E$6)*E776</f>
        <v>0</v>
      </c>
      <c r="H776" s="1">
        <f>G776*Fórmulas!B$9</f>
        <v>0</v>
      </c>
      <c r="I776" s="7">
        <f t="shared" si="22"/>
        <v>0</v>
      </c>
      <c r="J776" s="4"/>
      <c r="K776" s="1">
        <v>1</v>
      </c>
      <c r="L776" s="1">
        <f>((Fórmulas!C$6/Fórmulas!D$6)/0.7)*K776</f>
        <v>2.4489795918367347</v>
      </c>
      <c r="M776" s="1">
        <f>L776*Fórmulas!D$6</f>
        <v>857.14285714285711</v>
      </c>
    </row>
    <row r="777" spans="1:13" x14ac:dyDescent="0.25">
      <c r="A777" s="11" t="s">
        <v>475</v>
      </c>
      <c r="B777" s="26" t="s">
        <v>476</v>
      </c>
      <c r="C777" s="26"/>
      <c r="D777" s="26"/>
      <c r="E777" s="11">
        <v>3.6</v>
      </c>
      <c r="G777" s="1">
        <f>((Fórmulas!C$6/Fórmulas!D$6)/Fórmulas!E$6)*E777</f>
        <v>8.8163265306122458</v>
      </c>
      <c r="H777" s="1">
        <f>G777*Fórmulas!B$9</f>
        <v>3085.7142857142862</v>
      </c>
      <c r="I777" s="7">
        <f t="shared" si="22"/>
        <v>6</v>
      </c>
      <c r="J777" s="4"/>
      <c r="K777" s="1">
        <v>1</v>
      </c>
      <c r="L777" s="1">
        <f>((Fórmulas!C$6/Fórmulas!D$6)/0.7)*K777</f>
        <v>2.4489795918367347</v>
      </c>
      <c r="M777" s="1">
        <f>L777*Fórmulas!D$6</f>
        <v>857.14285714285711</v>
      </c>
    </row>
    <row r="778" spans="1:13" x14ac:dyDescent="0.25">
      <c r="A778" s="11" t="s">
        <v>475</v>
      </c>
      <c r="B778" s="26" t="s">
        <v>477</v>
      </c>
      <c r="C778" s="26"/>
      <c r="D778" s="26"/>
      <c r="E778" s="11">
        <v>4.3</v>
      </c>
      <c r="G778" s="1">
        <f>((Fórmulas!C$6/Fórmulas!D$6)/Fórmulas!E$6)*E778</f>
        <v>10.530612244897959</v>
      </c>
      <c r="H778" s="1">
        <f>G778*Fórmulas!B$9</f>
        <v>3685.7142857142858</v>
      </c>
      <c r="I778" s="7">
        <f t="shared" si="22"/>
        <v>7.166666666666667</v>
      </c>
      <c r="J778" s="4"/>
      <c r="K778" s="1">
        <v>1</v>
      </c>
      <c r="L778" s="1">
        <f>((Fórmulas!C$6/Fórmulas!D$6)/0.7)*K778</f>
        <v>2.4489795918367347</v>
      </c>
      <c r="M778" s="1">
        <f>L778*Fórmulas!D$6</f>
        <v>857.14285714285711</v>
      </c>
    </row>
    <row r="779" spans="1:13" x14ac:dyDescent="0.25">
      <c r="A779" s="11" t="s">
        <v>475</v>
      </c>
      <c r="B779" s="26" t="s">
        <v>478</v>
      </c>
      <c r="C779" s="26"/>
      <c r="D779" s="26"/>
      <c r="E779" s="11">
        <v>3.2</v>
      </c>
      <c r="G779" s="1">
        <f>((Fórmulas!C$6/Fórmulas!D$6)/Fórmulas!E$6)*E779</f>
        <v>7.8367346938775517</v>
      </c>
      <c r="H779" s="1">
        <f>G779*Fórmulas!B$9</f>
        <v>2742.8571428571431</v>
      </c>
      <c r="I779" s="7">
        <f t="shared" si="22"/>
        <v>5.3333333333333339</v>
      </c>
      <c r="J779" s="4"/>
      <c r="K779" s="1">
        <v>1</v>
      </c>
      <c r="L779" s="1">
        <f>((Fórmulas!C$6/Fórmulas!D$6)/0.7)*K779</f>
        <v>2.4489795918367347</v>
      </c>
      <c r="M779" s="1">
        <f>L779*Fórmulas!D$6</f>
        <v>857.14285714285711</v>
      </c>
    </row>
    <row r="780" spans="1:13" x14ac:dyDescent="0.25">
      <c r="A780" s="11" t="s">
        <v>475</v>
      </c>
      <c r="B780" s="25" t="s">
        <v>479</v>
      </c>
      <c r="C780" s="25"/>
      <c r="D780" s="25"/>
      <c r="E780" s="11">
        <v>5.2</v>
      </c>
      <c r="F780" s="9"/>
      <c r="G780" s="1">
        <f>((Fórmulas!C$6/Fórmulas!D$6)/Fórmulas!E$6)*E780</f>
        <v>12.73469387755102</v>
      </c>
      <c r="H780" s="1">
        <f>G780*Fórmulas!B$9</f>
        <v>4457.1428571428569</v>
      </c>
      <c r="I780" s="7">
        <f t="shared" si="22"/>
        <v>8.6666666666666679</v>
      </c>
      <c r="J780" s="9"/>
      <c r="K780" s="1">
        <v>1</v>
      </c>
      <c r="L780" s="1">
        <f>((Fórmulas!C$6/Fórmulas!D$6)/0.7)*K780</f>
        <v>2.4489795918367347</v>
      </c>
      <c r="M780" s="1">
        <f>L780*Fórmulas!D$6</f>
        <v>857.14285714285711</v>
      </c>
    </row>
    <row r="781" spans="1:13" x14ac:dyDescent="0.25">
      <c r="A781" s="11" t="s">
        <v>475</v>
      </c>
      <c r="B781" s="25" t="s">
        <v>480</v>
      </c>
      <c r="C781" s="25"/>
      <c r="D781" s="25"/>
      <c r="E781" s="11">
        <v>6</v>
      </c>
      <c r="F781" s="9"/>
      <c r="G781" s="1">
        <f>((Fórmulas!C$6/Fórmulas!D$6)/Fórmulas!E$6)*E781</f>
        <v>14.693877551020408</v>
      </c>
      <c r="H781" s="1">
        <f>G781*Fórmulas!B$9</f>
        <v>5142.8571428571431</v>
      </c>
      <c r="I781" s="7">
        <f t="shared" si="22"/>
        <v>10</v>
      </c>
      <c r="J781" s="9"/>
      <c r="K781" s="1">
        <v>1</v>
      </c>
      <c r="L781" s="1">
        <f>((Fórmulas!C$6/Fórmulas!D$6)/0.7)*K781</f>
        <v>2.4489795918367347</v>
      </c>
      <c r="M781" s="1">
        <f>L781*Fórmulas!D$6</f>
        <v>857.14285714285711</v>
      </c>
    </row>
    <row r="782" spans="1:13" x14ac:dyDescent="0.25">
      <c r="A782" s="11" t="s">
        <v>475</v>
      </c>
      <c r="B782" s="25" t="s">
        <v>485</v>
      </c>
      <c r="C782" s="25"/>
      <c r="D782" s="25"/>
      <c r="E782" s="11">
        <v>4</v>
      </c>
      <c r="F782" s="9"/>
      <c r="G782" s="1">
        <f>((Fórmulas!C$6/Fórmulas!D$6)/Fórmulas!E$6)*E782</f>
        <v>9.795918367346939</v>
      </c>
      <c r="H782" s="1">
        <f>G782*Fórmulas!B$9</f>
        <v>3428.5714285714284</v>
      </c>
      <c r="I782" s="7">
        <f t="shared" si="22"/>
        <v>6.666666666666667</v>
      </c>
      <c r="J782" s="9"/>
      <c r="K782" s="1">
        <v>1</v>
      </c>
      <c r="L782" s="1">
        <f>((Fórmulas!C$6/Fórmulas!D$6)/0.7)*K782</f>
        <v>2.4489795918367347</v>
      </c>
      <c r="M782" s="1">
        <f>L782*Fórmulas!D$6</f>
        <v>857.14285714285711</v>
      </c>
    </row>
    <row r="783" spans="1:13" x14ac:dyDescent="0.25">
      <c r="A783" s="11"/>
      <c r="B783" s="25"/>
      <c r="C783" s="25"/>
      <c r="D783" s="25"/>
      <c r="E783" s="11">
        <v>0</v>
      </c>
      <c r="F783" s="9"/>
      <c r="G783" s="1">
        <f>((Fórmulas!C$6/Fórmulas!D$6)/Fórmulas!E$6)*E783</f>
        <v>0</v>
      </c>
      <c r="H783" s="1">
        <f>G783*Fórmulas!B$9</f>
        <v>0</v>
      </c>
      <c r="I783" s="7">
        <f t="shared" si="22"/>
        <v>0</v>
      </c>
      <c r="J783" s="9"/>
      <c r="K783" s="1">
        <v>1</v>
      </c>
      <c r="L783" s="1">
        <f>((Fórmulas!C$6/Fórmulas!D$6)/0.7)*K783</f>
        <v>2.4489795918367347</v>
      </c>
      <c r="M783" s="1">
        <f>L783*Fórmulas!D$6</f>
        <v>857.14285714285711</v>
      </c>
    </row>
    <row r="784" spans="1:13" x14ac:dyDescent="0.25">
      <c r="A784" s="11"/>
      <c r="B784" s="25"/>
      <c r="C784" s="25"/>
      <c r="D784" s="25"/>
      <c r="E784" s="11">
        <v>0</v>
      </c>
      <c r="F784" s="9"/>
      <c r="G784" s="1">
        <f>((Fórmulas!C$6/Fórmulas!D$6)/Fórmulas!E$6)*E784</f>
        <v>0</v>
      </c>
      <c r="H784" s="1">
        <f>G784*Fórmulas!B$9</f>
        <v>0</v>
      </c>
      <c r="I784" s="7">
        <f t="shared" si="22"/>
        <v>0</v>
      </c>
      <c r="J784" s="9"/>
      <c r="K784" s="1">
        <v>1</v>
      </c>
      <c r="L784" s="1">
        <f>((Fórmulas!C$6/Fórmulas!D$6)/0.7)*K784</f>
        <v>2.4489795918367347</v>
      </c>
      <c r="M784" s="1">
        <f>L784*Fórmulas!D$6</f>
        <v>857.14285714285711</v>
      </c>
    </row>
    <row r="785" spans="1:13" x14ac:dyDescent="0.25">
      <c r="B785" s="26"/>
      <c r="C785" s="26"/>
      <c r="D785" s="26"/>
      <c r="E785" s="11">
        <v>0</v>
      </c>
      <c r="F785" s="9"/>
      <c r="G785" s="1">
        <f>((Fórmulas!C$6/Fórmulas!D$6)/Fórmulas!E$6)*E785</f>
        <v>0</v>
      </c>
      <c r="H785" s="1">
        <f>G785*Fórmulas!B$9</f>
        <v>0</v>
      </c>
      <c r="I785" s="7">
        <f t="shared" si="22"/>
        <v>0</v>
      </c>
      <c r="J785" s="9"/>
      <c r="K785" s="1">
        <v>1</v>
      </c>
      <c r="L785" s="1">
        <f>((Fórmulas!C$6/Fórmulas!D$6)/0.7)*K785</f>
        <v>2.4489795918367347</v>
      </c>
      <c r="M785" s="1">
        <f>L785*Fórmulas!D$6</f>
        <v>857.14285714285711</v>
      </c>
    </row>
    <row r="786" spans="1:13" x14ac:dyDescent="0.25">
      <c r="B786" s="26"/>
      <c r="C786" s="26"/>
      <c r="D786" s="26"/>
      <c r="E786" s="11">
        <v>0</v>
      </c>
      <c r="F786" s="9"/>
      <c r="G786" s="1">
        <f>((Fórmulas!C$6/Fórmulas!D$6)/Fórmulas!E$6)*E786</f>
        <v>0</v>
      </c>
      <c r="H786" s="1">
        <f>G786*Fórmulas!B$9</f>
        <v>0</v>
      </c>
      <c r="I786" s="7">
        <f t="shared" si="22"/>
        <v>0</v>
      </c>
      <c r="J786" s="9"/>
      <c r="K786" s="1">
        <v>1</v>
      </c>
      <c r="L786" s="1">
        <f>((Fórmulas!C$6/Fórmulas!D$6)/0.7)*K786</f>
        <v>2.4489795918367347</v>
      </c>
      <c r="M786" s="1">
        <f>L786*Fórmulas!D$6</f>
        <v>857.14285714285711</v>
      </c>
    </row>
    <row r="787" spans="1:13" x14ac:dyDescent="0.25">
      <c r="B787" s="26"/>
      <c r="C787" s="26"/>
      <c r="D787" s="26"/>
      <c r="E787" s="11">
        <v>0</v>
      </c>
      <c r="F787" s="9"/>
      <c r="G787" s="1">
        <f>((Fórmulas!C$6/Fórmulas!D$6)/Fórmulas!E$6)*E787</f>
        <v>0</v>
      </c>
      <c r="H787" s="1">
        <f>G787*Fórmulas!B$9</f>
        <v>0</v>
      </c>
      <c r="I787" s="7">
        <f t="shared" si="22"/>
        <v>0</v>
      </c>
      <c r="J787" s="9"/>
      <c r="K787" s="1">
        <v>1</v>
      </c>
      <c r="L787" s="1">
        <f>((Fórmulas!C$6/Fórmulas!D$6)/0.7)*K787</f>
        <v>2.4489795918367347</v>
      </c>
      <c r="M787" s="1">
        <f>L787*Fórmulas!D$6</f>
        <v>857.14285714285711</v>
      </c>
    </row>
    <row r="788" spans="1:13" x14ac:dyDescent="0.25">
      <c r="B788" s="26"/>
      <c r="C788" s="26"/>
      <c r="D788" s="26"/>
      <c r="E788" s="11">
        <v>0</v>
      </c>
      <c r="F788" s="9"/>
      <c r="G788" s="1">
        <f>((Fórmulas!C$6/Fórmulas!D$6)/Fórmulas!E$6)*E788</f>
        <v>0</v>
      </c>
      <c r="H788" s="1">
        <f>G788*Fórmulas!B$9</f>
        <v>0</v>
      </c>
      <c r="I788" s="7">
        <f t="shared" si="22"/>
        <v>0</v>
      </c>
      <c r="J788" s="9"/>
      <c r="K788" s="1">
        <v>1</v>
      </c>
      <c r="L788" s="1">
        <f>((Fórmulas!C$6/Fórmulas!D$6)/0.7)*K788</f>
        <v>2.4489795918367347</v>
      </c>
      <c r="M788" s="1">
        <f>L788*Fórmulas!D$6</f>
        <v>857.14285714285711</v>
      </c>
    </row>
    <row r="789" spans="1:13" x14ac:dyDescent="0.25">
      <c r="A789" t="s">
        <v>818</v>
      </c>
      <c r="B789" s="26" t="s">
        <v>819</v>
      </c>
      <c r="C789" s="26"/>
      <c r="D789" s="26"/>
      <c r="E789" s="11">
        <v>5.35</v>
      </c>
      <c r="F789" s="9"/>
      <c r="G789" s="1">
        <f>((Fórmulas!C$6/Fórmulas!D$6)/Fórmulas!E$6)*E789</f>
        <v>13.102040816326531</v>
      </c>
      <c r="H789" s="1">
        <f>G789*Fórmulas!B$9</f>
        <v>4585.7142857142853</v>
      </c>
      <c r="I789" s="7">
        <f t="shared" si="22"/>
        <v>8.9166666666666661</v>
      </c>
      <c r="J789" s="9"/>
      <c r="K789" s="1">
        <v>1</v>
      </c>
      <c r="L789" s="1">
        <f>((Fórmulas!C$6/Fórmulas!D$6)/0.7)*K789</f>
        <v>2.4489795918367347</v>
      </c>
      <c r="M789" s="1">
        <f>L789*Fórmulas!D$6</f>
        <v>857.14285714285711</v>
      </c>
    </row>
    <row r="790" spans="1:13" x14ac:dyDescent="0.25">
      <c r="B790" s="26"/>
      <c r="C790" s="26"/>
      <c r="D790" s="26"/>
      <c r="E790" s="11">
        <v>0</v>
      </c>
      <c r="F790" s="9"/>
      <c r="G790" s="1">
        <f>((Fórmulas!C$6/Fórmulas!D$6)/Fórmulas!E$6)*E790</f>
        <v>0</v>
      </c>
      <c r="H790" s="1">
        <f>G790*Fórmulas!B$9</f>
        <v>0</v>
      </c>
      <c r="I790" s="7">
        <f t="shared" si="22"/>
        <v>0</v>
      </c>
      <c r="J790" s="9"/>
      <c r="K790" s="1">
        <v>1</v>
      </c>
      <c r="L790" s="1">
        <f>((Fórmulas!C$6/Fórmulas!D$6)/0.7)*K790</f>
        <v>2.4489795918367347</v>
      </c>
      <c r="M790" s="1">
        <f>L790*Fórmulas!D$6</f>
        <v>857.14285714285711</v>
      </c>
    </row>
    <row r="791" spans="1:13" x14ac:dyDescent="0.25">
      <c r="B791" s="26"/>
      <c r="C791" s="26"/>
      <c r="D791" s="26"/>
      <c r="E791" s="11">
        <v>0</v>
      </c>
      <c r="F791" s="9"/>
      <c r="G791" s="1">
        <f>((Fórmulas!C$6/Fórmulas!D$6)/Fórmulas!E$6)*E791</f>
        <v>0</v>
      </c>
      <c r="H791" s="1">
        <f>G791*Fórmulas!B$9</f>
        <v>0</v>
      </c>
      <c r="I791" s="7">
        <f t="shared" si="22"/>
        <v>0</v>
      </c>
      <c r="J791" s="9"/>
      <c r="K791" s="1">
        <v>1</v>
      </c>
      <c r="L791" s="1">
        <f>((Fórmulas!C$6/Fórmulas!D$6)/0.7)*K791</f>
        <v>2.4489795918367347</v>
      </c>
      <c r="M791" s="1">
        <f>L791*Fórmulas!D$6</f>
        <v>857.14285714285711</v>
      </c>
    </row>
    <row r="792" spans="1:13" x14ac:dyDescent="0.25">
      <c r="A792" s="9"/>
      <c r="B792" s="26"/>
      <c r="C792" s="26"/>
      <c r="D792" s="26"/>
      <c r="E792" s="11">
        <v>0</v>
      </c>
      <c r="F792" s="9"/>
      <c r="G792" s="1">
        <f>((Fórmulas!C$6/Fórmulas!D$6)/Fórmulas!E$6)*E792</f>
        <v>0</v>
      </c>
      <c r="H792" s="1">
        <f>G792*Fórmulas!B$9</f>
        <v>0</v>
      </c>
      <c r="I792" s="7">
        <f t="shared" si="22"/>
        <v>0</v>
      </c>
      <c r="J792" s="9"/>
      <c r="K792" s="1">
        <v>1</v>
      </c>
      <c r="L792" s="1">
        <f>((Fórmulas!C$6/Fórmulas!D$6)/0.7)*K792</f>
        <v>2.4489795918367347</v>
      </c>
      <c r="M792" s="1">
        <f>L792*Fórmulas!D$6</f>
        <v>857.14285714285711</v>
      </c>
    </row>
    <row r="793" spans="1:13" x14ac:dyDescent="0.25">
      <c r="A793" s="9"/>
      <c r="B793" s="25"/>
      <c r="C793" s="25"/>
      <c r="D793" s="25"/>
      <c r="E793" s="11">
        <v>0</v>
      </c>
      <c r="F793" s="9"/>
      <c r="G793" s="1">
        <f>((Fórmulas!C$6/Fórmulas!D$6)/Fórmulas!E$6)*E793</f>
        <v>0</v>
      </c>
      <c r="H793" s="1">
        <f>G793*Fórmulas!B$9</f>
        <v>0</v>
      </c>
      <c r="I793" s="7">
        <f t="shared" si="22"/>
        <v>0</v>
      </c>
      <c r="J793" s="9"/>
      <c r="K793" s="1">
        <v>1</v>
      </c>
      <c r="L793" s="1">
        <f>((Fórmulas!C$6/Fórmulas!D$6)/0.7)*K793</f>
        <v>2.4489795918367347</v>
      </c>
      <c r="M793" s="1">
        <f>L793*Fórmulas!D$6</f>
        <v>857.14285714285711</v>
      </c>
    </row>
    <row r="794" spans="1:13" x14ac:dyDescent="0.25">
      <c r="A794" s="22"/>
      <c r="B794" s="28" t="s">
        <v>659</v>
      </c>
      <c r="C794" s="28"/>
      <c r="D794" s="28"/>
      <c r="E794" s="22"/>
      <c r="F794" s="22"/>
      <c r="G794" s="1"/>
      <c r="H794" s="1"/>
      <c r="I794" s="7"/>
      <c r="J794" s="9"/>
      <c r="K794" s="1"/>
      <c r="L794" s="1"/>
      <c r="M794" s="1"/>
    </row>
    <row r="795" spans="1:13" x14ac:dyDescent="0.25">
      <c r="B795" s="25"/>
      <c r="C795" s="25"/>
      <c r="D795" s="25"/>
      <c r="E795" s="11">
        <v>0</v>
      </c>
      <c r="F795" s="9"/>
      <c r="G795" s="1">
        <f>((Fórmulas!C$6/Fórmulas!D$6)/Fórmulas!E$6)*E795</f>
        <v>0</v>
      </c>
      <c r="H795" s="1">
        <f>G795*Fórmulas!B$9</f>
        <v>0</v>
      </c>
      <c r="I795" s="7">
        <f t="shared" si="22"/>
        <v>0</v>
      </c>
      <c r="J795" s="9"/>
      <c r="K795" s="1">
        <v>1</v>
      </c>
      <c r="L795" s="1">
        <f>((Fórmulas!C$6/Fórmulas!D$6)/0.7)*K795</f>
        <v>2.4489795918367347</v>
      </c>
      <c r="M795" s="1">
        <f>L795*Fórmulas!D$6</f>
        <v>857.14285714285711</v>
      </c>
    </row>
    <row r="796" spans="1:13" x14ac:dyDescent="0.25">
      <c r="A796" t="s">
        <v>822</v>
      </c>
      <c r="B796" s="26" t="s">
        <v>828</v>
      </c>
      <c r="C796" s="26"/>
      <c r="D796" s="26"/>
      <c r="E796" s="11">
        <v>10</v>
      </c>
      <c r="F796" s="9"/>
      <c r="G796" s="1">
        <f>((Fórmulas!C$6/Fórmulas!D$6)/Fórmulas!E$6)*E796</f>
        <v>24.489795918367349</v>
      </c>
      <c r="H796" s="1">
        <f>G796*Fórmulas!B$9</f>
        <v>8571.4285714285725</v>
      </c>
      <c r="I796" s="7">
        <f t="shared" si="22"/>
        <v>16.666666666666668</v>
      </c>
      <c r="J796" s="9"/>
      <c r="K796" s="1">
        <v>1</v>
      </c>
      <c r="L796" s="1">
        <f>((Fórmulas!C$6/Fórmulas!D$6)/0.7)*K796</f>
        <v>2.4489795918367347</v>
      </c>
      <c r="M796" s="1">
        <f>L796*Fórmulas!D$6</f>
        <v>857.14285714285711</v>
      </c>
    </row>
    <row r="797" spans="1:13" x14ac:dyDescent="0.25">
      <c r="B797" s="26"/>
      <c r="C797" s="26"/>
      <c r="D797" s="26"/>
      <c r="E797" s="22">
        <v>0</v>
      </c>
      <c r="F797" s="22"/>
      <c r="G797" s="1">
        <f>((Fórmulas!C$6/Fórmulas!D$6)/Fórmulas!E$6)*E797</f>
        <v>0</v>
      </c>
      <c r="H797" s="1">
        <f>G797*Fórmulas!B$9</f>
        <v>0</v>
      </c>
      <c r="I797" s="7">
        <f t="shared" ref="I797:I800" si="24">E797/0.6</f>
        <v>0</v>
      </c>
      <c r="J797" s="22"/>
      <c r="K797" s="1">
        <v>1</v>
      </c>
      <c r="L797" s="1">
        <f>((Fórmulas!C$6/Fórmulas!D$6)/0.7)*K797</f>
        <v>2.4489795918367347</v>
      </c>
      <c r="M797" s="1">
        <f>L797*Fórmulas!D$6</f>
        <v>857.14285714285711</v>
      </c>
    </row>
    <row r="798" spans="1:13" x14ac:dyDescent="0.25">
      <c r="B798" s="26"/>
      <c r="C798" s="26"/>
      <c r="D798" s="26"/>
      <c r="E798" s="22">
        <v>0</v>
      </c>
      <c r="F798" s="22"/>
      <c r="G798" s="1">
        <f>((Fórmulas!C$6/Fórmulas!D$6)/Fórmulas!E$6)*E798</f>
        <v>0</v>
      </c>
      <c r="H798" s="1">
        <f>G798*Fórmulas!B$9</f>
        <v>0</v>
      </c>
      <c r="I798" s="7">
        <f t="shared" si="24"/>
        <v>0</v>
      </c>
      <c r="J798" s="22"/>
      <c r="K798" s="1">
        <v>1</v>
      </c>
      <c r="L798" s="1">
        <f>((Fórmulas!C$6/Fórmulas!D$6)/0.7)*K798</f>
        <v>2.4489795918367347</v>
      </c>
      <c r="M798" s="1">
        <f>L798*Fórmulas!D$6</f>
        <v>857.14285714285711</v>
      </c>
    </row>
    <row r="799" spans="1:13" x14ac:dyDescent="0.25">
      <c r="A799" s="22"/>
      <c r="B799" s="25"/>
      <c r="C799" s="25"/>
      <c r="D799" s="25"/>
      <c r="E799" s="22">
        <v>0</v>
      </c>
      <c r="F799" s="22"/>
      <c r="G799" s="1">
        <f>((Fórmulas!C$6/Fórmulas!D$6)/Fórmulas!E$6)*E799</f>
        <v>0</v>
      </c>
      <c r="H799" s="1">
        <f>G799*Fórmulas!B$9</f>
        <v>0</v>
      </c>
      <c r="I799" s="7">
        <f t="shared" si="24"/>
        <v>0</v>
      </c>
      <c r="J799" s="22"/>
      <c r="K799" s="1">
        <v>1</v>
      </c>
      <c r="L799" s="1">
        <f>((Fórmulas!C$6/Fórmulas!D$6)/0.7)*K799</f>
        <v>2.4489795918367347</v>
      </c>
      <c r="M799" s="1">
        <f>L799*Fórmulas!D$6</f>
        <v>857.14285714285711</v>
      </c>
    </row>
    <row r="800" spans="1:13" x14ac:dyDescent="0.25">
      <c r="A800" s="22"/>
      <c r="B800" s="26"/>
      <c r="C800" s="26"/>
      <c r="D800" s="26"/>
      <c r="E800" s="22">
        <v>0</v>
      </c>
      <c r="F800" s="22"/>
      <c r="G800" s="1">
        <f>((Fórmulas!C$6/Fórmulas!D$6)/Fórmulas!E$6)*E800</f>
        <v>0</v>
      </c>
      <c r="H800" s="1">
        <f>G800*Fórmulas!B$9</f>
        <v>0</v>
      </c>
      <c r="I800" s="7">
        <f t="shared" si="24"/>
        <v>0</v>
      </c>
      <c r="J800" s="22"/>
      <c r="K800" s="1">
        <v>1</v>
      </c>
      <c r="L800" s="1">
        <f>((Fórmulas!C$6/Fórmulas!D$6)/0.7)*K800</f>
        <v>2.4489795918367347</v>
      </c>
      <c r="M800" s="1">
        <f>L800*Fórmulas!D$6</f>
        <v>857.14285714285711</v>
      </c>
    </row>
    <row r="801" spans="1:13" x14ac:dyDescent="0.25">
      <c r="A801" s="22"/>
      <c r="B801" s="26"/>
      <c r="C801" s="26"/>
      <c r="D801" s="26"/>
      <c r="E801" s="22">
        <v>0</v>
      </c>
      <c r="F801" s="22"/>
      <c r="G801" s="1">
        <f>((Fórmulas!C$6/Fórmulas!D$6)/Fórmulas!E$6)*E801</f>
        <v>0</v>
      </c>
      <c r="H801" s="1">
        <f>G801*Fórmulas!B$9</f>
        <v>0</v>
      </c>
      <c r="I801" s="7">
        <f t="shared" ref="I801:I830" si="25">E801/0.6</f>
        <v>0</v>
      </c>
      <c r="J801" s="22"/>
      <c r="K801" s="1">
        <v>1</v>
      </c>
      <c r="L801" s="1">
        <f>((Fórmulas!C$6/Fórmulas!D$6)/0.7)*K801</f>
        <v>2.4489795918367347</v>
      </c>
      <c r="M801" s="1">
        <f>L801*Fórmulas!D$6</f>
        <v>857.14285714285711</v>
      </c>
    </row>
    <row r="802" spans="1:13" x14ac:dyDescent="0.25">
      <c r="A802" s="22"/>
      <c r="B802" s="26"/>
      <c r="C802" s="26"/>
      <c r="D802" s="26"/>
      <c r="E802" s="22">
        <v>0</v>
      </c>
      <c r="F802" s="22"/>
      <c r="G802" s="1">
        <f>((Fórmulas!C$6/Fórmulas!D$6)/Fórmulas!E$6)*E802</f>
        <v>0</v>
      </c>
      <c r="H802" s="1">
        <f>G802*Fórmulas!B$9</f>
        <v>0</v>
      </c>
      <c r="I802" s="7">
        <f t="shared" si="25"/>
        <v>0</v>
      </c>
      <c r="J802" s="22"/>
      <c r="K802" s="1">
        <v>1</v>
      </c>
      <c r="L802" s="1">
        <f>((Fórmulas!C$6/Fórmulas!D$6)/0.7)*K802</f>
        <v>2.4489795918367347</v>
      </c>
      <c r="M802" s="1">
        <f>L802*Fórmulas!D$6</f>
        <v>857.14285714285711</v>
      </c>
    </row>
    <row r="803" spans="1:13" x14ac:dyDescent="0.25">
      <c r="A803" s="22"/>
      <c r="B803" s="25"/>
      <c r="C803" s="25"/>
      <c r="D803" s="25"/>
      <c r="E803" s="22">
        <v>0</v>
      </c>
      <c r="F803" s="22"/>
      <c r="G803" s="1">
        <f>((Fórmulas!C$6/Fórmulas!D$6)/Fórmulas!E$6)*E803</f>
        <v>0</v>
      </c>
      <c r="H803" s="1">
        <f>G803*Fórmulas!B$9</f>
        <v>0</v>
      </c>
      <c r="I803" s="7">
        <f t="shared" si="25"/>
        <v>0</v>
      </c>
      <c r="J803" s="22"/>
      <c r="K803" s="1">
        <v>1</v>
      </c>
      <c r="L803" s="1">
        <f>((Fórmulas!C$6/Fórmulas!D$6)/0.7)*K803</f>
        <v>2.4489795918367347</v>
      </c>
      <c r="M803" s="1">
        <f>L803*Fórmulas!D$6</f>
        <v>857.14285714285711</v>
      </c>
    </row>
    <row r="804" spans="1:13" x14ac:dyDescent="0.25">
      <c r="A804" s="22"/>
      <c r="B804" s="26"/>
      <c r="C804" s="26"/>
      <c r="D804" s="26"/>
      <c r="E804" s="22">
        <v>0</v>
      </c>
      <c r="F804" s="22"/>
      <c r="G804" s="1">
        <f>((Fórmulas!C$6/Fórmulas!D$6)/Fórmulas!E$6)*E804</f>
        <v>0</v>
      </c>
      <c r="H804" s="1">
        <f>G804*Fórmulas!B$9</f>
        <v>0</v>
      </c>
      <c r="I804" s="7">
        <f t="shared" si="25"/>
        <v>0</v>
      </c>
      <c r="J804" s="22"/>
      <c r="K804" s="1">
        <v>1</v>
      </c>
      <c r="L804" s="1">
        <f>((Fórmulas!C$6/Fórmulas!D$6)/0.7)*K804</f>
        <v>2.4489795918367347</v>
      </c>
      <c r="M804" s="1">
        <f>L804*Fórmulas!D$6</f>
        <v>857.14285714285711</v>
      </c>
    </row>
    <row r="805" spans="1:13" x14ac:dyDescent="0.25">
      <c r="A805" s="22"/>
      <c r="B805" s="26"/>
      <c r="C805" s="26"/>
      <c r="D805" s="26"/>
      <c r="E805" s="22">
        <v>0</v>
      </c>
      <c r="F805" s="22"/>
      <c r="G805" s="1">
        <f>((Fórmulas!C$6/Fórmulas!D$6)/Fórmulas!E$6)*E805</f>
        <v>0</v>
      </c>
      <c r="H805" s="1">
        <f>G805*Fórmulas!B$9</f>
        <v>0</v>
      </c>
      <c r="I805" s="7">
        <f t="shared" si="25"/>
        <v>0</v>
      </c>
      <c r="J805" s="22"/>
      <c r="K805" s="1">
        <v>1</v>
      </c>
      <c r="L805" s="1">
        <f>((Fórmulas!C$6/Fórmulas!D$6)/0.7)*K805</f>
        <v>2.4489795918367347</v>
      </c>
      <c r="M805" s="1">
        <f>L805*Fórmulas!D$6</f>
        <v>857.14285714285711</v>
      </c>
    </row>
    <row r="806" spans="1:13" x14ac:dyDescent="0.25">
      <c r="A806" s="22"/>
      <c r="B806" s="26"/>
      <c r="C806" s="26"/>
      <c r="D806" s="26"/>
      <c r="E806" s="22">
        <v>0</v>
      </c>
      <c r="F806" s="22"/>
      <c r="G806" s="1">
        <f>((Fórmulas!C$6/Fórmulas!D$6)/Fórmulas!E$6)*E806</f>
        <v>0</v>
      </c>
      <c r="H806" s="1">
        <f>G806*Fórmulas!B$9</f>
        <v>0</v>
      </c>
      <c r="I806" s="7">
        <f t="shared" si="25"/>
        <v>0</v>
      </c>
      <c r="J806" s="22"/>
      <c r="K806" s="1">
        <v>1</v>
      </c>
      <c r="L806" s="1">
        <f>((Fórmulas!C$6/Fórmulas!D$6)/0.7)*K806</f>
        <v>2.4489795918367347</v>
      </c>
      <c r="M806" s="1">
        <f>L806*Fórmulas!D$6</f>
        <v>857.14285714285711</v>
      </c>
    </row>
    <row r="807" spans="1:13" x14ac:dyDescent="0.25">
      <c r="A807" s="22"/>
      <c r="B807" s="25"/>
      <c r="C807" s="25"/>
      <c r="D807" s="25"/>
      <c r="E807" s="22">
        <v>0</v>
      </c>
      <c r="F807" s="22"/>
      <c r="G807" s="1">
        <f>((Fórmulas!C$6/Fórmulas!D$6)/Fórmulas!E$6)*E807</f>
        <v>0</v>
      </c>
      <c r="H807" s="1">
        <f>G807*Fórmulas!B$9</f>
        <v>0</v>
      </c>
      <c r="I807" s="7">
        <f t="shared" si="25"/>
        <v>0</v>
      </c>
      <c r="J807" s="22"/>
      <c r="K807" s="1">
        <v>1</v>
      </c>
      <c r="L807" s="1">
        <f>((Fórmulas!C$6/Fórmulas!D$6)/0.7)*K807</f>
        <v>2.4489795918367347</v>
      </c>
      <c r="M807" s="1">
        <f>L807*Fórmulas!D$6</f>
        <v>857.14285714285711</v>
      </c>
    </row>
    <row r="808" spans="1:13" x14ac:dyDescent="0.25">
      <c r="A808" s="22"/>
      <c r="B808" s="26"/>
      <c r="C808" s="26"/>
      <c r="D808" s="26"/>
      <c r="E808" s="22">
        <v>0</v>
      </c>
      <c r="F808" s="22"/>
      <c r="G808" s="1">
        <f>((Fórmulas!C$6/Fórmulas!D$6)/Fórmulas!E$6)*E808</f>
        <v>0</v>
      </c>
      <c r="H808" s="1">
        <f>G808*Fórmulas!B$9</f>
        <v>0</v>
      </c>
      <c r="I808" s="7">
        <f t="shared" si="25"/>
        <v>0</v>
      </c>
      <c r="J808" s="22"/>
      <c r="K808" s="1">
        <v>1</v>
      </c>
      <c r="L808" s="1">
        <f>((Fórmulas!C$6/Fórmulas!D$6)/0.7)*K808</f>
        <v>2.4489795918367347</v>
      </c>
      <c r="M808" s="1">
        <f>L808*Fórmulas!D$6</f>
        <v>857.14285714285711</v>
      </c>
    </row>
    <row r="809" spans="1:13" x14ac:dyDescent="0.25">
      <c r="A809" s="22"/>
      <c r="B809" s="26"/>
      <c r="C809" s="26"/>
      <c r="D809" s="26"/>
      <c r="E809" s="22">
        <v>0</v>
      </c>
      <c r="F809" s="22"/>
      <c r="G809" s="1">
        <f>((Fórmulas!C$6/Fórmulas!D$6)/Fórmulas!E$6)*E809</f>
        <v>0</v>
      </c>
      <c r="H809" s="1">
        <f>G809*Fórmulas!B$9</f>
        <v>0</v>
      </c>
      <c r="I809" s="7">
        <f t="shared" si="25"/>
        <v>0</v>
      </c>
      <c r="J809" s="22"/>
      <c r="K809" s="1">
        <v>1</v>
      </c>
      <c r="L809" s="1">
        <f>((Fórmulas!C$6/Fórmulas!D$6)/0.7)*K809</f>
        <v>2.4489795918367347</v>
      </c>
      <c r="M809" s="1">
        <f>L809*Fórmulas!D$6</f>
        <v>857.14285714285711</v>
      </c>
    </row>
    <row r="810" spans="1:13" x14ac:dyDescent="0.25">
      <c r="A810" s="22"/>
      <c r="B810" s="26"/>
      <c r="C810" s="26"/>
      <c r="D810" s="26"/>
      <c r="E810" s="22">
        <v>0</v>
      </c>
      <c r="F810" s="22"/>
      <c r="G810" s="1">
        <f>((Fórmulas!C$6/Fórmulas!D$6)/Fórmulas!E$6)*E810</f>
        <v>0</v>
      </c>
      <c r="H810" s="1">
        <f>G810*Fórmulas!B$9</f>
        <v>0</v>
      </c>
      <c r="I810" s="7">
        <f t="shared" si="25"/>
        <v>0</v>
      </c>
      <c r="J810" s="22"/>
      <c r="K810" s="1">
        <v>1</v>
      </c>
      <c r="L810" s="1">
        <f>((Fórmulas!C$6/Fórmulas!D$6)/0.7)*K810</f>
        <v>2.4489795918367347</v>
      </c>
      <c r="M810" s="1">
        <f>L810*Fórmulas!D$6</f>
        <v>857.14285714285711</v>
      </c>
    </row>
    <row r="811" spans="1:13" x14ac:dyDescent="0.25">
      <c r="A811" s="22"/>
      <c r="B811" s="25"/>
      <c r="C811" s="25"/>
      <c r="D811" s="25"/>
      <c r="E811" s="22">
        <v>0</v>
      </c>
      <c r="F811" s="22"/>
      <c r="G811" s="1">
        <f>((Fórmulas!C$6/Fórmulas!D$6)/Fórmulas!E$6)*E811</f>
        <v>0</v>
      </c>
      <c r="H811" s="1">
        <f>G811*Fórmulas!B$9</f>
        <v>0</v>
      </c>
      <c r="I811" s="7">
        <f t="shared" si="25"/>
        <v>0</v>
      </c>
      <c r="J811" s="22"/>
      <c r="K811" s="1">
        <v>1</v>
      </c>
      <c r="L811" s="1">
        <f>((Fórmulas!C$6/Fórmulas!D$6)/0.7)*K811</f>
        <v>2.4489795918367347</v>
      </c>
      <c r="M811" s="1">
        <f>L811*Fórmulas!D$6</f>
        <v>857.14285714285711</v>
      </c>
    </row>
    <row r="812" spans="1:13" x14ac:dyDescent="0.25">
      <c r="A812" s="22"/>
      <c r="B812" s="26"/>
      <c r="C812" s="26"/>
      <c r="D812" s="26"/>
      <c r="E812" s="22">
        <v>0</v>
      </c>
      <c r="F812" s="22"/>
      <c r="G812" s="1">
        <f>((Fórmulas!C$6/Fórmulas!D$6)/Fórmulas!E$6)*E812</f>
        <v>0</v>
      </c>
      <c r="H812" s="1">
        <f>G812*Fórmulas!B$9</f>
        <v>0</v>
      </c>
      <c r="I812" s="7">
        <f t="shared" si="25"/>
        <v>0</v>
      </c>
      <c r="J812" s="22"/>
      <c r="K812" s="1">
        <v>1</v>
      </c>
      <c r="L812" s="1">
        <f>((Fórmulas!C$6/Fórmulas!D$6)/0.7)*K812</f>
        <v>2.4489795918367347</v>
      </c>
      <c r="M812" s="1">
        <f>L812*Fórmulas!D$6</f>
        <v>857.14285714285711</v>
      </c>
    </row>
    <row r="813" spans="1:13" x14ac:dyDescent="0.25">
      <c r="A813" s="22"/>
      <c r="B813" s="26"/>
      <c r="C813" s="26"/>
      <c r="D813" s="26"/>
      <c r="E813" s="22">
        <v>0</v>
      </c>
      <c r="F813" s="22"/>
      <c r="G813" s="1">
        <f>((Fórmulas!C$6/Fórmulas!D$6)/Fórmulas!E$6)*E813</f>
        <v>0</v>
      </c>
      <c r="H813" s="1">
        <f>G813*Fórmulas!B$9</f>
        <v>0</v>
      </c>
      <c r="I813" s="7">
        <f t="shared" si="25"/>
        <v>0</v>
      </c>
      <c r="J813" s="22"/>
      <c r="K813" s="1">
        <v>1</v>
      </c>
      <c r="L813" s="1">
        <f>((Fórmulas!C$6/Fórmulas!D$6)/0.7)*K813</f>
        <v>2.4489795918367347</v>
      </c>
      <c r="M813" s="1">
        <f>L813*Fórmulas!D$6</f>
        <v>857.14285714285711</v>
      </c>
    </row>
    <row r="814" spans="1:13" x14ac:dyDescent="0.25">
      <c r="A814" s="22"/>
      <c r="B814" s="26"/>
      <c r="C814" s="26"/>
      <c r="D814" s="26"/>
      <c r="E814" s="22">
        <v>0</v>
      </c>
      <c r="F814" s="22"/>
      <c r="G814" s="1">
        <f>((Fórmulas!C$6/Fórmulas!D$6)/Fórmulas!E$6)*E814</f>
        <v>0</v>
      </c>
      <c r="H814" s="1">
        <f>G814*Fórmulas!B$9</f>
        <v>0</v>
      </c>
      <c r="I814" s="7">
        <f t="shared" si="25"/>
        <v>0</v>
      </c>
      <c r="J814" s="22"/>
      <c r="K814" s="1">
        <v>1</v>
      </c>
      <c r="L814" s="1">
        <f>((Fórmulas!C$6/Fórmulas!D$6)/0.7)*K814</f>
        <v>2.4489795918367347</v>
      </c>
      <c r="M814" s="1">
        <f>L814*Fórmulas!D$6</f>
        <v>857.14285714285711</v>
      </c>
    </row>
    <row r="815" spans="1:13" x14ac:dyDescent="0.25">
      <c r="A815" s="22"/>
      <c r="B815" s="25"/>
      <c r="C815" s="25"/>
      <c r="D815" s="25"/>
      <c r="E815" s="22">
        <v>0</v>
      </c>
      <c r="F815" s="22"/>
      <c r="G815" s="1">
        <f>((Fórmulas!C$6/Fórmulas!D$6)/Fórmulas!E$6)*E815</f>
        <v>0</v>
      </c>
      <c r="H815" s="1">
        <f>G815*Fórmulas!B$9</f>
        <v>0</v>
      </c>
      <c r="I815" s="7">
        <f t="shared" si="25"/>
        <v>0</v>
      </c>
      <c r="J815" s="22"/>
      <c r="K815" s="1">
        <v>1</v>
      </c>
      <c r="L815" s="1">
        <f>((Fórmulas!C$6/Fórmulas!D$6)/0.7)*K815</f>
        <v>2.4489795918367347</v>
      </c>
      <c r="M815" s="1">
        <f>L815*Fórmulas!D$6</f>
        <v>857.14285714285711</v>
      </c>
    </row>
    <row r="816" spans="1:13" x14ac:dyDescent="0.25">
      <c r="A816" s="22"/>
      <c r="B816" s="26"/>
      <c r="C816" s="26"/>
      <c r="D816" s="26"/>
      <c r="E816" s="22">
        <v>0</v>
      </c>
      <c r="F816" s="22"/>
      <c r="G816" s="1">
        <f>((Fórmulas!C$6/Fórmulas!D$6)/Fórmulas!E$6)*E816</f>
        <v>0</v>
      </c>
      <c r="H816" s="1">
        <f>G816*Fórmulas!B$9</f>
        <v>0</v>
      </c>
      <c r="I816" s="7">
        <f t="shared" si="25"/>
        <v>0</v>
      </c>
      <c r="J816" s="22"/>
      <c r="K816" s="1">
        <v>1</v>
      </c>
      <c r="L816" s="1">
        <f>((Fórmulas!C$6/Fórmulas!D$6)/0.7)*K816</f>
        <v>2.4489795918367347</v>
      </c>
      <c r="M816" s="1">
        <f>L816*Fórmulas!D$6</f>
        <v>857.14285714285711</v>
      </c>
    </row>
    <row r="817" spans="1:13" x14ac:dyDescent="0.25">
      <c r="A817" s="22"/>
      <c r="B817" s="26"/>
      <c r="C817" s="26"/>
      <c r="D817" s="26"/>
      <c r="E817" s="22">
        <v>0</v>
      </c>
      <c r="F817" s="22"/>
      <c r="G817" s="1">
        <f>((Fórmulas!C$6/Fórmulas!D$6)/Fórmulas!E$6)*E817</f>
        <v>0</v>
      </c>
      <c r="H817" s="1">
        <f>G817*Fórmulas!B$9</f>
        <v>0</v>
      </c>
      <c r="I817" s="7">
        <f t="shared" si="25"/>
        <v>0</v>
      </c>
      <c r="J817" s="22"/>
      <c r="K817" s="1">
        <v>1</v>
      </c>
      <c r="L817" s="1">
        <f>((Fórmulas!C$6/Fórmulas!D$6)/0.7)*K817</f>
        <v>2.4489795918367347</v>
      </c>
      <c r="M817" s="1">
        <f>L817*Fórmulas!D$6</f>
        <v>857.14285714285711</v>
      </c>
    </row>
    <row r="818" spans="1:13" x14ac:dyDescent="0.25">
      <c r="A818" s="22"/>
      <c r="B818" s="26"/>
      <c r="C818" s="26"/>
      <c r="D818" s="26"/>
      <c r="E818" s="22">
        <v>0</v>
      </c>
      <c r="F818" s="22"/>
      <c r="G818" s="1">
        <f>((Fórmulas!C$6/Fórmulas!D$6)/Fórmulas!E$6)*E818</f>
        <v>0</v>
      </c>
      <c r="H818" s="1">
        <f>G818*Fórmulas!B$9</f>
        <v>0</v>
      </c>
      <c r="I818" s="7">
        <f t="shared" si="25"/>
        <v>0</v>
      </c>
      <c r="J818" s="22"/>
      <c r="K818" s="1">
        <v>1</v>
      </c>
      <c r="L818" s="1">
        <f>((Fórmulas!C$6/Fórmulas!D$6)/0.7)*K818</f>
        <v>2.4489795918367347</v>
      </c>
      <c r="M818" s="1">
        <f>L818*Fórmulas!D$6</f>
        <v>857.14285714285711</v>
      </c>
    </row>
    <row r="819" spans="1:13" x14ac:dyDescent="0.25">
      <c r="A819" s="22"/>
      <c r="B819" s="25"/>
      <c r="C819" s="25"/>
      <c r="D819" s="25"/>
      <c r="E819" s="22">
        <v>0</v>
      </c>
      <c r="F819" s="22"/>
      <c r="G819" s="1">
        <f>((Fórmulas!C$6/Fórmulas!D$6)/Fórmulas!E$6)*E819</f>
        <v>0</v>
      </c>
      <c r="H819" s="1">
        <f>G819*Fórmulas!B$9</f>
        <v>0</v>
      </c>
      <c r="I819" s="7">
        <f t="shared" si="25"/>
        <v>0</v>
      </c>
      <c r="J819" s="22"/>
      <c r="K819" s="1">
        <v>1</v>
      </c>
      <c r="L819" s="1">
        <f>((Fórmulas!C$6/Fórmulas!D$6)/0.7)*K819</f>
        <v>2.4489795918367347</v>
      </c>
      <c r="M819" s="1">
        <f>L819*Fórmulas!D$6</f>
        <v>857.14285714285711</v>
      </c>
    </row>
    <row r="820" spans="1:13" x14ac:dyDescent="0.25">
      <c r="A820" s="22"/>
      <c r="B820" s="26"/>
      <c r="C820" s="26"/>
      <c r="D820" s="26"/>
      <c r="E820" s="22">
        <v>0</v>
      </c>
      <c r="F820" s="22"/>
      <c r="G820" s="1">
        <f>((Fórmulas!C$6/Fórmulas!D$6)/Fórmulas!E$6)*E820</f>
        <v>0</v>
      </c>
      <c r="H820" s="1">
        <f>G820*Fórmulas!B$9</f>
        <v>0</v>
      </c>
      <c r="I820" s="7">
        <f t="shared" si="25"/>
        <v>0</v>
      </c>
      <c r="J820" s="22"/>
      <c r="K820" s="1">
        <v>1</v>
      </c>
      <c r="L820" s="1">
        <f>((Fórmulas!C$6/Fórmulas!D$6)/0.7)*K820</f>
        <v>2.4489795918367347</v>
      </c>
      <c r="M820" s="1">
        <f>L820*Fórmulas!D$6</f>
        <v>857.14285714285711</v>
      </c>
    </row>
    <row r="821" spans="1:13" x14ac:dyDescent="0.25">
      <c r="A821" s="22"/>
      <c r="B821" s="26"/>
      <c r="C821" s="26"/>
      <c r="D821" s="26"/>
      <c r="E821" s="22">
        <v>0</v>
      </c>
      <c r="F821" s="22"/>
      <c r="G821" s="1">
        <f>((Fórmulas!C$6/Fórmulas!D$6)/Fórmulas!E$6)*E821</f>
        <v>0</v>
      </c>
      <c r="H821" s="1">
        <f>G821*Fórmulas!B$9</f>
        <v>0</v>
      </c>
      <c r="I821" s="7">
        <f t="shared" si="25"/>
        <v>0</v>
      </c>
      <c r="J821" s="22"/>
      <c r="K821" s="1">
        <v>1</v>
      </c>
      <c r="L821" s="1">
        <f>((Fórmulas!C$6/Fórmulas!D$6)/0.7)*K821</f>
        <v>2.4489795918367347</v>
      </c>
      <c r="M821" s="1">
        <f>L821*Fórmulas!D$6</f>
        <v>857.14285714285711</v>
      </c>
    </row>
    <row r="822" spans="1:13" x14ac:dyDescent="0.25">
      <c r="A822" s="22"/>
      <c r="B822" s="26"/>
      <c r="C822" s="26"/>
      <c r="D822" s="26"/>
      <c r="E822" s="22">
        <v>0</v>
      </c>
      <c r="F822" s="22"/>
      <c r="G822" s="1">
        <f>((Fórmulas!C$6/Fórmulas!D$6)/Fórmulas!E$6)*E822</f>
        <v>0</v>
      </c>
      <c r="H822" s="1">
        <f>G822*Fórmulas!B$9</f>
        <v>0</v>
      </c>
      <c r="I822" s="7">
        <f t="shared" si="25"/>
        <v>0</v>
      </c>
      <c r="J822" s="22"/>
      <c r="K822" s="1">
        <v>1</v>
      </c>
      <c r="L822" s="1">
        <f>((Fórmulas!C$6/Fórmulas!D$6)/0.7)*K822</f>
        <v>2.4489795918367347</v>
      </c>
      <c r="M822" s="1">
        <f>L822*Fórmulas!D$6</f>
        <v>857.14285714285711</v>
      </c>
    </row>
    <row r="823" spans="1:13" x14ac:dyDescent="0.25">
      <c r="A823" s="22"/>
      <c r="B823" s="25"/>
      <c r="C823" s="25"/>
      <c r="D823" s="25"/>
      <c r="E823" s="22">
        <v>0</v>
      </c>
      <c r="F823" s="22"/>
      <c r="G823" s="1">
        <f>((Fórmulas!C$6/Fórmulas!D$6)/Fórmulas!E$6)*E823</f>
        <v>0</v>
      </c>
      <c r="H823" s="1">
        <f>G823*Fórmulas!B$9</f>
        <v>0</v>
      </c>
      <c r="I823" s="7">
        <f t="shared" si="25"/>
        <v>0</v>
      </c>
      <c r="J823" s="22"/>
      <c r="K823" s="1">
        <v>1</v>
      </c>
      <c r="L823" s="1">
        <f>((Fórmulas!C$6/Fórmulas!D$6)/0.7)*K823</f>
        <v>2.4489795918367347</v>
      </c>
      <c r="M823" s="1">
        <f>L823*Fórmulas!D$6</f>
        <v>857.14285714285711</v>
      </c>
    </row>
    <row r="824" spans="1:13" x14ac:dyDescent="0.25">
      <c r="A824" s="22"/>
      <c r="B824" s="26"/>
      <c r="C824" s="26"/>
      <c r="D824" s="26"/>
      <c r="E824" s="22">
        <v>0</v>
      </c>
      <c r="F824" s="22"/>
      <c r="G824" s="1">
        <f>((Fórmulas!C$6/Fórmulas!D$6)/Fórmulas!E$6)*E824</f>
        <v>0</v>
      </c>
      <c r="H824" s="1">
        <f>G824*Fórmulas!B$9</f>
        <v>0</v>
      </c>
      <c r="I824" s="7">
        <f t="shared" si="25"/>
        <v>0</v>
      </c>
      <c r="J824" s="22"/>
      <c r="K824" s="1">
        <v>1</v>
      </c>
      <c r="L824" s="1">
        <f>((Fórmulas!C$6/Fórmulas!D$6)/0.7)*K824</f>
        <v>2.4489795918367347</v>
      </c>
      <c r="M824" s="1">
        <f>L824*Fórmulas!D$6</f>
        <v>857.14285714285711</v>
      </c>
    </row>
    <row r="825" spans="1:13" x14ac:dyDescent="0.25">
      <c r="A825" s="22"/>
      <c r="B825" s="26"/>
      <c r="C825" s="26"/>
      <c r="D825" s="26"/>
      <c r="E825" s="22">
        <v>0</v>
      </c>
      <c r="F825" s="22"/>
      <c r="G825" s="1">
        <f>((Fórmulas!C$6/Fórmulas!D$6)/Fórmulas!E$6)*E825</f>
        <v>0</v>
      </c>
      <c r="H825" s="1">
        <f>G825*Fórmulas!B$9</f>
        <v>0</v>
      </c>
      <c r="I825" s="7">
        <f t="shared" si="25"/>
        <v>0</v>
      </c>
      <c r="J825" s="22"/>
      <c r="K825" s="1">
        <v>1</v>
      </c>
      <c r="L825" s="1">
        <f>((Fórmulas!C$6/Fórmulas!D$6)/0.7)*K825</f>
        <v>2.4489795918367347</v>
      </c>
      <c r="M825" s="1">
        <f>L825*Fórmulas!D$6</f>
        <v>857.14285714285711</v>
      </c>
    </row>
    <row r="826" spans="1:13" x14ac:dyDescent="0.25">
      <c r="A826" s="22"/>
      <c r="B826" s="26"/>
      <c r="C826" s="26"/>
      <c r="D826" s="26"/>
      <c r="E826" s="22">
        <v>0</v>
      </c>
      <c r="F826" s="22"/>
      <c r="G826" s="1">
        <f>((Fórmulas!C$6/Fórmulas!D$6)/Fórmulas!E$6)*E826</f>
        <v>0</v>
      </c>
      <c r="H826" s="1">
        <f>G826*Fórmulas!B$9</f>
        <v>0</v>
      </c>
      <c r="I826" s="7">
        <f t="shared" si="25"/>
        <v>0</v>
      </c>
      <c r="J826" s="22"/>
      <c r="K826" s="1">
        <v>1</v>
      </c>
      <c r="L826" s="1">
        <f>((Fórmulas!C$6/Fórmulas!D$6)/0.7)*K826</f>
        <v>2.4489795918367347</v>
      </c>
      <c r="M826" s="1">
        <f>L826*Fórmulas!D$6</f>
        <v>857.14285714285711</v>
      </c>
    </row>
    <row r="827" spans="1:13" x14ac:dyDescent="0.25">
      <c r="A827" s="22"/>
      <c r="B827" s="25"/>
      <c r="C827" s="25"/>
      <c r="D827" s="25"/>
      <c r="E827" s="22">
        <v>0</v>
      </c>
      <c r="F827" s="22"/>
      <c r="G827" s="1">
        <f>((Fórmulas!C$6/Fórmulas!D$6)/Fórmulas!E$6)*E827</f>
        <v>0</v>
      </c>
      <c r="H827" s="1">
        <f>G827*Fórmulas!B$9</f>
        <v>0</v>
      </c>
      <c r="I827" s="7">
        <f t="shared" si="25"/>
        <v>0</v>
      </c>
      <c r="J827" s="22"/>
      <c r="K827" s="1">
        <v>1</v>
      </c>
      <c r="L827" s="1">
        <f>((Fórmulas!C$6/Fórmulas!D$6)/0.7)*K827</f>
        <v>2.4489795918367347</v>
      </c>
      <c r="M827" s="1">
        <f>L827*Fórmulas!D$6</f>
        <v>857.14285714285711</v>
      </c>
    </row>
    <row r="828" spans="1:13" x14ac:dyDescent="0.25">
      <c r="A828" s="22"/>
      <c r="B828" s="26"/>
      <c r="C828" s="26"/>
      <c r="D828" s="26"/>
      <c r="E828" s="22">
        <v>0</v>
      </c>
      <c r="F828" s="22"/>
      <c r="G828" s="1">
        <f>((Fórmulas!C$6/Fórmulas!D$6)/Fórmulas!E$6)*E828</f>
        <v>0</v>
      </c>
      <c r="H828" s="1">
        <f>G828*Fórmulas!B$9</f>
        <v>0</v>
      </c>
      <c r="I828" s="7">
        <f t="shared" si="25"/>
        <v>0</v>
      </c>
      <c r="J828" s="22"/>
      <c r="K828" s="1">
        <v>1</v>
      </c>
      <c r="L828" s="1">
        <f>((Fórmulas!C$6/Fórmulas!D$6)/0.7)*K828</f>
        <v>2.4489795918367347</v>
      </c>
      <c r="M828" s="1">
        <f>L828*Fórmulas!D$6</f>
        <v>857.14285714285711</v>
      </c>
    </row>
    <row r="829" spans="1:13" x14ac:dyDescent="0.25">
      <c r="A829" s="22"/>
      <c r="B829" s="26"/>
      <c r="C829" s="26"/>
      <c r="D829" s="26"/>
      <c r="E829" s="22">
        <v>0</v>
      </c>
      <c r="F829" s="22"/>
      <c r="G829" s="1">
        <f>((Fórmulas!C$6/Fórmulas!D$6)/Fórmulas!E$6)*E829</f>
        <v>0</v>
      </c>
      <c r="H829" s="1">
        <f>G829*Fórmulas!B$9</f>
        <v>0</v>
      </c>
      <c r="I829" s="7">
        <f t="shared" si="25"/>
        <v>0</v>
      </c>
      <c r="J829" s="22"/>
      <c r="K829" s="1">
        <v>1</v>
      </c>
      <c r="L829" s="1">
        <f>((Fórmulas!C$6/Fórmulas!D$6)/0.7)*K829</f>
        <v>2.4489795918367347</v>
      </c>
      <c r="M829" s="1">
        <f>L829*Fórmulas!D$6</f>
        <v>857.14285714285711</v>
      </c>
    </row>
    <row r="830" spans="1:13" x14ac:dyDescent="0.25">
      <c r="A830" s="22"/>
      <c r="B830" s="26"/>
      <c r="C830" s="26"/>
      <c r="D830" s="26"/>
      <c r="E830" s="22">
        <v>0</v>
      </c>
      <c r="F830" s="22"/>
      <c r="G830" s="1">
        <f>((Fórmulas!C$6/Fórmulas!D$6)/Fórmulas!E$6)*E830</f>
        <v>0</v>
      </c>
      <c r="H830" s="1">
        <f>G830*Fórmulas!B$9</f>
        <v>0</v>
      </c>
      <c r="I830" s="7">
        <f t="shared" si="25"/>
        <v>0</v>
      </c>
      <c r="J830" s="22"/>
      <c r="K830" s="1">
        <v>1</v>
      </c>
      <c r="L830" s="1">
        <f>((Fórmulas!C$6/Fórmulas!D$6)/0.7)*K830</f>
        <v>2.4489795918367347</v>
      </c>
      <c r="M830" s="1">
        <f>L830*Fórmulas!D$6</f>
        <v>857.14285714285711</v>
      </c>
    </row>
  </sheetData>
  <sortState ref="B175:D194">
    <sortCondition ref="B175"/>
  </sortState>
  <mergeCells count="828">
    <mergeCell ref="B741:D741"/>
    <mergeCell ref="B742:D742"/>
    <mergeCell ref="B743:D743"/>
    <mergeCell ref="B744:D744"/>
    <mergeCell ref="B732:D732"/>
    <mergeCell ref="B733:D733"/>
    <mergeCell ref="B734:D734"/>
    <mergeCell ref="B735:D735"/>
    <mergeCell ref="B736:D736"/>
    <mergeCell ref="B737:D737"/>
    <mergeCell ref="B738:D738"/>
    <mergeCell ref="B739:D739"/>
    <mergeCell ref="B740:D740"/>
    <mergeCell ref="B689:D689"/>
    <mergeCell ref="B690:D690"/>
    <mergeCell ref="B691:D691"/>
    <mergeCell ref="B692:D692"/>
    <mergeCell ref="B693:D693"/>
    <mergeCell ref="B694:D694"/>
    <mergeCell ref="B695:D695"/>
    <mergeCell ref="B696:D696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78:D678"/>
    <mergeCell ref="B674:D674"/>
    <mergeCell ref="B679:D679"/>
    <mergeCell ref="B680:D680"/>
    <mergeCell ref="B681:D681"/>
    <mergeCell ref="B682:D682"/>
    <mergeCell ref="B683:D683"/>
    <mergeCell ref="B797:D797"/>
    <mergeCell ref="B798:D798"/>
    <mergeCell ref="B799:D799"/>
    <mergeCell ref="B471:D471"/>
    <mergeCell ref="B476:D476"/>
    <mergeCell ref="B477:D477"/>
    <mergeCell ref="B478:D478"/>
    <mergeCell ref="B480:D480"/>
    <mergeCell ref="B482:D482"/>
    <mergeCell ref="B483:D483"/>
    <mergeCell ref="B484:D484"/>
    <mergeCell ref="B485:D485"/>
    <mergeCell ref="B486:D486"/>
    <mergeCell ref="B488:D488"/>
    <mergeCell ref="B489:D489"/>
    <mergeCell ref="B490:D490"/>
    <mergeCell ref="B491:D491"/>
    <mergeCell ref="B492:D492"/>
    <mergeCell ref="B493:D493"/>
    <mergeCell ref="B494:D494"/>
    <mergeCell ref="B495:D495"/>
    <mergeCell ref="B496:D496"/>
    <mergeCell ref="B497:D497"/>
    <mergeCell ref="B498:D498"/>
    <mergeCell ref="B788:D788"/>
    <mergeCell ref="B789:D789"/>
    <mergeCell ref="B790:D790"/>
    <mergeCell ref="B791:D791"/>
    <mergeCell ref="B792:D792"/>
    <mergeCell ref="B793:D793"/>
    <mergeCell ref="B794:D794"/>
    <mergeCell ref="B795:D795"/>
    <mergeCell ref="B796:D796"/>
    <mergeCell ref="B779:D779"/>
    <mergeCell ref="B780:D780"/>
    <mergeCell ref="B781:D781"/>
    <mergeCell ref="B782:D782"/>
    <mergeCell ref="B783:D783"/>
    <mergeCell ref="B784:D784"/>
    <mergeCell ref="B785:D785"/>
    <mergeCell ref="B786:D786"/>
    <mergeCell ref="B787:D787"/>
    <mergeCell ref="B684:D684"/>
    <mergeCell ref="B675:D675"/>
    <mergeCell ref="B669:D669"/>
    <mergeCell ref="B670:D670"/>
    <mergeCell ref="B676:D676"/>
    <mergeCell ref="B677:D677"/>
    <mergeCell ref="B646:D646"/>
    <mergeCell ref="B647:D647"/>
    <mergeCell ref="B648:D648"/>
    <mergeCell ref="B649:D649"/>
    <mergeCell ref="B650:D650"/>
    <mergeCell ref="B651:D651"/>
    <mergeCell ref="B652:D652"/>
    <mergeCell ref="B654:D654"/>
    <mergeCell ref="B655:D655"/>
    <mergeCell ref="B656:D656"/>
    <mergeCell ref="B657:D657"/>
    <mergeCell ref="B658:D658"/>
    <mergeCell ref="B659:D659"/>
    <mergeCell ref="B660:D660"/>
    <mergeCell ref="B661:D661"/>
    <mergeCell ref="B662:D662"/>
    <mergeCell ref="B663:D663"/>
    <mergeCell ref="B664:D664"/>
    <mergeCell ref="B665:D665"/>
    <mergeCell ref="B666:D666"/>
    <mergeCell ref="B642:D642"/>
    <mergeCell ref="B643:D643"/>
    <mergeCell ref="B644:D644"/>
    <mergeCell ref="B645:D645"/>
    <mergeCell ref="B653:D653"/>
    <mergeCell ref="B536:D536"/>
    <mergeCell ref="B368:D368"/>
    <mergeCell ref="B369:D369"/>
    <mergeCell ref="B520:D520"/>
    <mergeCell ref="B521:D521"/>
    <mergeCell ref="B529:D529"/>
    <mergeCell ref="B530:D530"/>
    <mergeCell ref="B531:D531"/>
    <mergeCell ref="B532:D532"/>
    <mergeCell ref="B533:D533"/>
    <mergeCell ref="B534:D534"/>
    <mergeCell ref="B535:D535"/>
    <mergeCell ref="B378:D378"/>
    <mergeCell ref="B379:D379"/>
    <mergeCell ref="B380:D380"/>
    <mergeCell ref="B386:D386"/>
    <mergeCell ref="B394:D394"/>
    <mergeCell ref="B640:D640"/>
    <mergeCell ref="B499:D499"/>
    <mergeCell ref="B500:D500"/>
    <mergeCell ref="B501:D501"/>
    <mergeCell ref="B502:D502"/>
    <mergeCell ref="B503:D503"/>
    <mergeCell ref="B504:D504"/>
    <mergeCell ref="B505:D505"/>
    <mergeCell ref="B506:D506"/>
    <mergeCell ref="B507:D507"/>
    <mergeCell ref="B508:D508"/>
    <mergeCell ref="B509:D509"/>
    <mergeCell ref="B510:D510"/>
    <mergeCell ref="B511:D511"/>
    <mergeCell ref="B512:D512"/>
    <mergeCell ref="B513:D513"/>
    <mergeCell ref="B354:D354"/>
    <mergeCell ref="B355:D355"/>
    <mergeCell ref="B356:D356"/>
    <mergeCell ref="B357:D357"/>
    <mergeCell ref="B358:D358"/>
    <mergeCell ref="B359:D359"/>
    <mergeCell ref="B328:D328"/>
    <mergeCell ref="B329:D329"/>
    <mergeCell ref="B330:D330"/>
    <mergeCell ref="B333:D333"/>
    <mergeCell ref="B334:D334"/>
    <mergeCell ref="B335:D335"/>
    <mergeCell ref="B336:D336"/>
    <mergeCell ref="B338:D338"/>
    <mergeCell ref="B339:D339"/>
    <mergeCell ref="B340:D340"/>
    <mergeCell ref="B346:D346"/>
    <mergeCell ref="B347:D347"/>
    <mergeCell ref="B348:D348"/>
    <mergeCell ref="B349:D349"/>
    <mergeCell ref="B350:D350"/>
    <mergeCell ref="B351:D351"/>
    <mergeCell ref="B352:D352"/>
    <mergeCell ref="B353:D353"/>
    <mergeCell ref="B256:D256"/>
    <mergeCell ref="B274:D274"/>
    <mergeCell ref="B289:D289"/>
    <mergeCell ref="B337:D337"/>
    <mergeCell ref="B341:D341"/>
    <mergeCell ref="B342:D342"/>
    <mergeCell ref="B343:D343"/>
    <mergeCell ref="B344:D344"/>
    <mergeCell ref="B345:D345"/>
    <mergeCell ref="B326:D326"/>
    <mergeCell ref="B271:D271"/>
    <mergeCell ref="B272:D272"/>
    <mergeCell ref="B279:D279"/>
    <mergeCell ref="B282:D282"/>
    <mergeCell ref="B283:D283"/>
    <mergeCell ref="B284:D284"/>
    <mergeCell ref="B273:D273"/>
    <mergeCell ref="B275:D275"/>
    <mergeCell ref="B276:D276"/>
    <mergeCell ref="B277:D277"/>
    <mergeCell ref="B278:D278"/>
    <mergeCell ref="B280:D280"/>
    <mergeCell ref="B281:D281"/>
    <mergeCell ref="B332:D332"/>
    <mergeCell ref="B10:D10"/>
    <mergeCell ref="B11:D11"/>
    <mergeCell ref="B12:D12"/>
    <mergeCell ref="B13:D13"/>
    <mergeCell ref="B14:D14"/>
    <mergeCell ref="B15:D15"/>
    <mergeCell ref="K4:M4"/>
    <mergeCell ref="B5:D5"/>
    <mergeCell ref="B6:D6"/>
    <mergeCell ref="B7:D7"/>
    <mergeCell ref="B8:D8"/>
    <mergeCell ref="B9:D9"/>
    <mergeCell ref="E4:I4"/>
    <mergeCell ref="B22:D22"/>
    <mergeCell ref="B23:D23"/>
    <mergeCell ref="B33:D33"/>
    <mergeCell ref="B34:D34"/>
    <mergeCell ref="B35:D35"/>
    <mergeCell ref="B36:D36"/>
    <mergeCell ref="B16:D16"/>
    <mergeCell ref="B17:D17"/>
    <mergeCell ref="B18:D18"/>
    <mergeCell ref="B19:D19"/>
    <mergeCell ref="B20:D20"/>
    <mergeCell ref="B21:D21"/>
    <mergeCell ref="B45:D45"/>
    <mergeCell ref="B46:D46"/>
    <mergeCell ref="B47:D47"/>
    <mergeCell ref="B48:D48"/>
    <mergeCell ref="B49:D49"/>
    <mergeCell ref="B50:D50"/>
    <mergeCell ref="B37:D37"/>
    <mergeCell ref="B40:D40"/>
    <mergeCell ref="B41:D41"/>
    <mergeCell ref="B42:D42"/>
    <mergeCell ref="B43:D43"/>
    <mergeCell ref="B44:D44"/>
    <mergeCell ref="B38:D38"/>
    <mergeCell ref="B39:D39"/>
    <mergeCell ref="B57:D57"/>
    <mergeCell ref="B58:D58"/>
    <mergeCell ref="B68:D68"/>
    <mergeCell ref="B69:D69"/>
    <mergeCell ref="B70:D70"/>
    <mergeCell ref="B71:D71"/>
    <mergeCell ref="B51:D51"/>
    <mergeCell ref="B52:D52"/>
    <mergeCell ref="B53:D53"/>
    <mergeCell ref="B54:D54"/>
    <mergeCell ref="B55:D55"/>
    <mergeCell ref="B56:D56"/>
    <mergeCell ref="B78:D78"/>
    <mergeCell ref="B79:D79"/>
    <mergeCell ref="B80:D80"/>
    <mergeCell ref="B81:D81"/>
    <mergeCell ref="B82:D82"/>
    <mergeCell ref="B83:D83"/>
    <mergeCell ref="B72:D72"/>
    <mergeCell ref="B73:D73"/>
    <mergeCell ref="B74:D74"/>
    <mergeCell ref="B75:D75"/>
    <mergeCell ref="B76:D76"/>
    <mergeCell ref="B77:D77"/>
    <mergeCell ref="B90:D90"/>
    <mergeCell ref="B91:D91"/>
    <mergeCell ref="B92:D92"/>
    <mergeCell ref="B93:D93"/>
    <mergeCell ref="B94:D94"/>
    <mergeCell ref="B95:D95"/>
    <mergeCell ref="B84:D84"/>
    <mergeCell ref="B85:D85"/>
    <mergeCell ref="B86:D86"/>
    <mergeCell ref="B87:D87"/>
    <mergeCell ref="B88:D88"/>
    <mergeCell ref="B89:D89"/>
    <mergeCell ref="B102:D102"/>
    <mergeCell ref="B103:D103"/>
    <mergeCell ref="B104:D104"/>
    <mergeCell ref="B105:D105"/>
    <mergeCell ref="B106:D106"/>
    <mergeCell ref="B107:D107"/>
    <mergeCell ref="B96:D96"/>
    <mergeCell ref="B97:D97"/>
    <mergeCell ref="B98:D98"/>
    <mergeCell ref="B99:D99"/>
    <mergeCell ref="B100:D100"/>
    <mergeCell ref="B101:D101"/>
    <mergeCell ref="B114:D114"/>
    <mergeCell ref="B115:D115"/>
    <mergeCell ref="B116:D116"/>
    <mergeCell ref="B117:D117"/>
    <mergeCell ref="B118:D118"/>
    <mergeCell ref="B119:D119"/>
    <mergeCell ref="B108:D108"/>
    <mergeCell ref="B109:D109"/>
    <mergeCell ref="B110:D110"/>
    <mergeCell ref="B111:D111"/>
    <mergeCell ref="B112:D112"/>
    <mergeCell ref="B113:D113"/>
    <mergeCell ref="B126:D126"/>
    <mergeCell ref="B127:D127"/>
    <mergeCell ref="B128:D128"/>
    <mergeCell ref="B129:D129"/>
    <mergeCell ref="B130:D130"/>
    <mergeCell ref="B131:D131"/>
    <mergeCell ref="B120:D120"/>
    <mergeCell ref="B121:D121"/>
    <mergeCell ref="B122:D122"/>
    <mergeCell ref="B123:D123"/>
    <mergeCell ref="B124:D124"/>
    <mergeCell ref="B125:D125"/>
    <mergeCell ref="B138:D138"/>
    <mergeCell ref="B139:D139"/>
    <mergeCell ref="B140:D140"/>
    <mergeCell ref="B141:D141"/>
    <mergeCell ref="B142:D142"/>
    <mergeCell ref="B143:D143"/>
    <mergeCell ref="B132:D132"/>
    <mergeCell ref="B133:D133"/>
    <mergeCell ref="B134:D134"/>
    <mergeCell ref="B135:D135"/>
    <mergeCell ref="B136:D136"/>
    <mergeCell ref="B137:D137"/>
    <mergeCell ref="B150:D150"/>
    <mergeCell ref="B151:D151"/>
    <mergeCell ref="B152:D152"/>
    <mergeCell ref="B153:D153"/>
    <mergeCell ref="B154:D154"/>
    <mergeCell ref="B155:D155"/>
    <mergeCell ref="B144:D144"/>
    <mergeCell ref="B145:D145"/>
    <mergeCell ref="B146:D146"/>
    <mergeCell ref="B147:D147"/>
    <mergeCell ref="B148:D148"/>
    <mergeCell ref="B149:D149"/>
    <mergeCell ref="B162:D162"/>
    <mergeCell ref="B163:D163"/>
    <mergeCell ref="B164:D164"/>
    <mergeCell ref="B165:D165"/>
    <mergeCell ref="B166:D166"/>
    <mergeCell ref="B167:D167"/>
    <mergeCell ref="B156:D156"/>
    <mergeCell ref="B157:D157"/>
    <mergeCell ref="B158:D158"/>
    <mergeCell ref="B159:D159"/>
    <mergeCell ref="B160:D160"/>
    <mergeCell ref="B161:D161"/>
    <mergeCell ref="B174:D174"/>
    <mergeCell ref="B175:D175"/>
    <mergeCell ref="B176:D176"/>
    <mergeCell ref="B177:D177"/>
    <mergeCell ref="B178:D178"/>
    <mergeCell ref="B179:D179"/>
    <mergeCell ref="B168:D168"/>
    <mergeCell ref="B169:D169"/>
    <mergeCell ref="B170:D170"/>
    <mergeCell ref="B171:D171"/>
    <mergeCell ref="B172:D172"/>
    <mergeCell ref="B173:D173"/>
    <mergeCell ref="B186:D186"/>
    <mergeCell ref="B187:D187"/>
    <mergeCell ref="B188:D188"/>
    <mergeCell ref="B189:D189"/>
    <mergeCell ref="B190:D190"/>
    <mergeCell ref="B191:D191"/>
    <mergeCell ref="B180:D180"/>
    <mergeCell ref="B181:D181"/>
    <mergeCell ref="B182:D182"/>
    <mergeCell ref="B183:D183"/>
    <mergeCell ref="B184:D184"/>
    <mergeCell ref="B185:D185"/>
    <mergeCell ref="B198:D198"/>
    <mergeCell ref="B199:D199"/>
    <mergeCell ref="B200:D200"/>
    <mergeCell ref="B201:D201"/>
    <mergeCell ref="B202:D202"/>
    <mergeCell ref="B192:D192"/>
    <mergeCell ref="B193:D193"/>
    <mergeCell ref="B194:D194"/>
    <mergeCell ref="B195:D195"/>
    <mergeCell ref="B196:D196"/>
    <mergeCell ref="B197:D197"/>
    <mergeCell ref="B209:D209"/>
    <mergeCell ref="B211:D211"/>
    <mergeCell ref="B212:D212"/>
    <mergeCell ref="B213:D213"/>
    <mergeCell ref="B214:D214"/>
    <mergeCell ref="B215:D215"/>
    <mergeCell ref="B203:D203"/>
    <mergeCell ref="B204:D204"/>
    <mergeCell ref="B205:D205"/>
    <mergeCell ref="B206:D206"/>
    <mergeCell ref="B207:D207"/>
    <mergeCell ref="B208:D208"/>
    <mergeCell ref="B210:D210"/>
    <mergeCell ref="B216:D216"/>
    <mergeCell ref="B257:D257"/>
    <mergeCell ref="B263:D263"/>
    <mergeCell ref="B327:D327"/>
    <mergeCell ref="B331:D331"/>
    <mergeCell ref="B258:D258"/>
    <mergeCell ref="B259:D259"/>
    <mergeCell ref="B260:D260"/>
    <mergeCell ref="B261:D261"/>
    <mergeCell ref="B262:D262"/>
    <mergeCell ref="B264:D264"/>
    <mergeCell ref="B265:D265"/>
    <mergeCell ref="B266:D266"/>
    <mergeCell ref="B267:D267"/>
    <mergeCell ref="B268:D268"/>
    <mergeCell ref="B269:D269"/>
    <mergeCell ref="B270:D270"/>
    <mergeCell ref="B217:D217"/>
    <mergeCell ref="B218:D218"/>
    <mergeCell ref="B219:D219"/>
    <mergeCell ref="B220:D220"/>
    <mergeCell ref="B221:D221"/>
    <mergeCell ref="B222:D222"/>
    <mergeCell ref="B223:D223"/>
    <mergeCell ref="B375:D375"/>
    <mergeCell ref="B376:D376"/>
    <mergeCell ref="B377:D377"/>
    <mergeCell ref="B385:D385"/>
    <mergeCell ref="B383:D383"/>
    <mergeCell ref="B384:D384"/>
    <mergeCell ref="B360:D360"/>
    <mergeCell ref="B361:D361"/>
    <mergeCell ref="B362:D362"/>
    <mergeCell ref="B373:D373"/>
    <mergeCell ref="B367:D367"/>
    <mergeCell ref="B370:D370"/>
    <mergeCell ref="B371:D371"/>
    <mergeCell ref="B372:D372"/>
    <mergeCell ref="B381:D381"/>
    <mergeCell ref="B382:D382"/>
    <mergeCell ref="B363:D363"/>
    <mergeCell ref="B364:D364"/>
    <mergeCell ref="B365:D365"/>
    <mergeCell ref="B366:D366"/>
    <mergeCell ref="B374:D374"/>
    <mergeCell ref="B387:D387"/>
    <mergeCell ref="B388:D388"/>
    <mergeCell ref="B389:D389"/>
    <mergeCell ref="B391:D391"/>
    <mergeCell ref="B392:D392"/>
    <mergeCell ref="B393:D393"/>
    <mergeCell ref="B390:D390"/>
    <mergeCell ref="B406:D406"/>
    <mergeCell ref="B416:D416"/>
    <mergeCell ref="B398:D398"/>
    <mergeCell ref="B399:D399"/>
    <mergeCell ref="B395:D395"/>
    <mergeCell ref="B396:D396"/>
    <mergeCell ref="B397:D397"/>
    <mergeCell ref="B417:D417"/>
    <mergeCell ref="B418:D418"/>
    <mergeCell ref="B419:D419"/>
    <mergeCell ref="B420:D420"/>
    <mergeCell ref="B400:D400"/>
    <mergeCell ref="B401:D401"/>
    <mergeCell ref="B402:D402"/>
    <mergeCell ref="B403:D403"/>
    <mergeCell ref="B404:D404"/>
    <mergeCell ref="B405:D405"/>
    <mergeCell ref="B407:D407"/>
    <mergeCell ref="B408:D408"/>
    <mergeCell ref="B409:D409"/>
    <mergeCell ref="B410:D410"/>
    <mergeCell ref="B411:D411"/>
    <mergeCell ref="B412:D412"/>
    <mergeCell ref="B413:D413"/>
    <mergeCell ref="B414:D414"/>
    <mergeCell ref="B415:D415"/>
    <mergeCell ref="B436:D436"/>
    <mergeCell ref="B437:D437"/>
    <mergeCell ref="B438:D438"/>
    <mergeCell ref="B470:D470"/>
    <mergeCell ref="B561:D561"/>
    <mergeCell ref="B562:D562"/>
    <mergeCell ref="B421:D421"/>
    <mergeCell ref="B422:D422"/>
    <mergeCell ref="B432:D432"/>
    <mergeCell ref="B433:D433"/>
    <mergeCell ref="B434:D434"/>
    <mergeCell ref="B435:D435"/>
    <mergeCell ref="B439:D439"/>
    <mergeCell ref="B469:D469"/>
    <mergeCell ref="B440:D440"/>
    <mergeCell ref="B514:D514"/>
    <mergeCell ref="B515:D515"/>
    <mergeCell ref="B481:D481"/>
    <mergeCell ref="B487:D487"/>
    <mergeCell ref="B479:D479"/>
    <mergeCell ref="B516:D516"/>
    <mergeCell ref="B517:D517"/>
    <mergeCell ref="B518:D518"/>
    <mergeCell ref="B519:D519"/>
    <mergeCell ref="B571:D571"/>
    <mergeCell ref="B572:D572"/>
    <mergeCell ref="B573:D573"/>
    <mergeCell ref="B576:D576"/>
    <mergeCell ref="B577:D577"/>
    <mergeCell ref="B579:D579"/>
    <mergeCell ref="B575:D575"/>
    <mergeCell ref="B578:D578"/>
    <mergeCell ref="B563:D563"/>
    <mergeCell ref="B564:D564"/>
    <mergeCell ref="B565:D565"/>
    <mergeCell ref="B568:D568"/>
    <mergeCell ref="B569:D569"/>
    <mergeCell ref="B570:D570"/>
    <mergeCell ref="B566:D566"/>
    <mergeCell ref="B567:D567"/>
    <mergeCell ref="B574:D574"/>
    <mergeCell ref="B588:D588"/>
    <mergeCell ref="B589:D589"/>
    <mergeCell ref="B598:D598"/>
    <mergeCell ref="B599:D599"/>
    <mergeCell ref="B580:D580"/>
    <mergeCell ref="B581:D581"/>
    <mergeCell ref="B582:D582"/>
    <mergeCell ref="B583:D583"/>
    <mergeCell ref="B584:D584"/>
    <mergeCell ref="B585:D585"/>
    <mergeCell ref="B686:D686"/>
    <mergeCell ref="B638:D638"/>
    <mergeCell ref="B624:D624"/>
    <mergeCell ref="B623:D623"/>
    <mergeCell ref="B612:D612"/>
    <mergeCell ref="B613:D613"/>
    <mergeCell ref="B614:D614"/>
    <mergeCell ref="B615:D615"/>
    <mergeCell ref="B606:D606"/>
    <mergeCell ref="B607:D607"/>
    <mergeCell ref="B608:D608"/>
    <mergeCell ref="B609:D609"/>
    <mergeCell ref="B610:D610"/>
    <mergeCell ref="B611:D611"/>
    <mergeCell ref="B629:D629"/>
    <mergeCell ref="B630:D630"/>
    <mergeCell ref="B631:D631"/>
    <mergeCell ref="B633:D633"/>
    <mergeCell ref="B634:D634"/>
    <mergeCell ref="B635:D635"/>
    <mergeCell ref="B636:D636"/>
    <mergeCell ref="B637:D637"/>
    <mergeCell ref="B616:D616"/>
    <mergeCell ref="B641:D641"/>
    <mergeCell ref="B632:D632"/>
    <mergeCell ref="B626:D626"/>
    <mergeCell ref="B625:D625"/>
    <mergeCell ref="B707:D707"/>
    <mergeCell ref="B708:D708"/>
    <mergeCell ref="B709:D709"/>
    <mergeCell ref="B711:D711"/>
    <mergeCell ref="B701:D701"/>
    <mergeCell ref="B702:D702"/>
    <mergeCell ref="B703:D703"/>
    <mergeCell ref="B710:D710"/>
    <mergeCell ref="B705:D705"/>
    <mergeCell ref="B706:D706"/>
    <mergeCell ref="B687:D687"/>
    <mergeCell ref="B688:D688"/>
    <mergeCell ref="B697:D697"/>
    <mergeCell ref="B698:D698"/>
    <mergeCell ref="B699:D699"/>
    <mergeCell ref="B700:D700"/>
    <mergeCell ref="B639:D639"/>
    <mergeCell ref="B671:D671"/>
    <mergeCell ref="B672:D672"/>
    <mergeCell ref="B673:D673"/>
    <mergeCell ref="B685:D685"/>
    <mergeCell ref="B224:D224"/>
    <mergeCell ref="B225:D225"/>
    <mergeCell ref="B226:D226"/>
    <mergeCell ref="B227:D227"/>
    <mergeCell ref="B228:D228"/>
    <mergeCell ref="B229:D229"/>
    <mergeCell ref="B230:D230"/>
    <mergeCell ref="B231:D231"/>
    <mergeCell ref="B441:D441"/>
    <mergeCell ref="B320:D320"/>
    <mergeCell ref="B321:D321"/>
    <mergeCell ref="B322:D322"/>
    <mergeCell ref="B323:D323"/>
    <mergeCell ref="B324:D324"/>
    <mergeCell ref="B291:D291"/>
    <mergeCell ref="B293:D293"/>
    <mergeCell ref="B294:D294"/>
    <mergeCell ref="B295:D295"/>
    <mergeCell ref="B296:D296"/>
    <mergeCell ref="B297:D297"/>
    <mergeCell ref="B298:D298"/>
    <mergeCell ref="B299:D299"/>
    <mergeCell ref="B300:D300"/>
    <mergeCell ref="B245:D245"/>
    <mergeCell ref="B442:D442"/>
    <mergeCell ref="B443:D443"/>
    <mergeCell ref="B444:D444"/>
    <mergeCell ref="B285:D285"/>
    <mergeCell ref="B286:D286"/>
    <mergeCell ref="B287:D287"/>
    <mergeCell ref="B288:D288"/>
    <mergeCell ref="B290:D290"/>
    <mergeCell ref="B292:D292"/>
    <mergeCell ref="B306:D306"/>
    <mergeCell ref="B307:D307"/>
    <mergeCell ref="B308:D308"/>
    <mergeCell ref="B309:D309"/>
    <mergeCell ref="B310:D310"/>
    <mergeCell ref="B311:D311"/>
    <mergeCell ref="B312:D312"/>
    <mergeCell ref="B313:D313"/>
    <mergeCell ref="B314:D314"/>
    <mergeCell ref="B315:D315"/>
    <mergeCell ref="B316:D316"/>
    <mergeCell ref="B317:D317"/>
    <mergeCell ref="B318:D318"/>
    <mergeCell ref="B325:D325"/>
    <mergeCell ref="B319:D319"/>
    <mergeCell ref="B617:D617"/>
    <mergeCell ref="B618:D618"/>
    <mergeCell ref="B619:D619"/>
    <mergeCell ref="B620:D620"/>
    <mergeCell ref="B621:D621"/>
    <mergeCell ref="B627:D627"/>
    <mergeCell ref="B628:D628"/>
    <mergeCell ref="B445:D445"/>
    <mergeCell ref="B446:D446"/>
    <mergeCell ref="B447:D447"/>
    <mergeCell ref="B448:D448"/>
    <mergeCell ref="B449:D449"/>
    <mergeCell ref="B450:D450"/>
    <mergeCell ref="B451:D451"/>
    <mergeCell ref="B461:D461"/>
    <mergeCell ref="B462:D462"/>
    <mergeCell ref="B600:D600"/>
    <mergeCell ref="B601:D601"/>
    <mergeCell ref="B602:D602"/>
    <mergeCell ref="B603:D603"/>
    <mergeCell ref="B604:D604"/>
    <mergeCell ref="B605:D605"/>
    <mergeCell ref="B586:D586"/>
    <mergeCell ref="B587:D587"/>
    <mergeCell ref="B715:D715"/>
    <mergeCell ref="B716:D716"/>
    <mergeCell ref="B717:D717"/>
    <mergeCell ref="B718:D718"/>
    <mergeCell ref="B719:D719"/>
    <mergeCell ref="B720:D720"/>
    <mergeCell ref="B721:D721"/>
    <mergeCell ref="B463:D463"/>
    <mergeCell ref="B464:D464"/>
    <mergeCell ref="B465:D465"/>
    <mergeCell ref="B466:D466"/>
    <mergeCell ref="B467:D467"/>
    <mergeCell ref="B468:D468"/>
    <mergeCell ref="B622:D622"/>
    <mergeCell ref="B704:D704"/>
    <mergeCell ref="B712:D712"/>
    <mergeCell ref="B590:D590"/>
    <mergeCell ref="B591:D591"/>
    <mergeCell ref="B592:D592"/>
    <mergeCell ref="B593:D593"/>
    <mergeCell ref="B594:D594"/>
    <mergeCell ref="B595:D595"/>
    <mergeCell ref="B596:D596"/>
    <mergeCell ref="B597:D597"/>
    <mergeCell ref="B246:D246"/>
    <mergeCell ref="B247:D247"/>
    <mergeCell ref="B248:D248"/>
    <mergeCell ref="B249:D249"/>
    <mergeCell ref="B232:D232"/>
    <mergeCell ref="B233:D233"/>
    <mergeCell ref="B234:D234"/>
    <mergeCell ref="B235:D235"/>
    <mergeCell ref="B236:D236"/>
    <mergeCell ref="B237:D237"/>
    <mergeCell ref="B238:D238"/>
    <mergeCell ref="B239:D239"/>
    <mergeCell ref="B240:D240"/>
    <mergeCell ref="B304:D304"/>
    <mergeCell ref="B305:D305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250:D250"/>
    <mergeCell ref="B251:D251"/>
    <mergeCell ref="B252:D252"/>
    <mergeCell ref="B253:D253"/>
    <mergeCell ref="B254:D254"/>
    <mergeCell ref="B255:D255"/>
    <mergeCell ref="B301:D301"/>
    <mergeCell ref="B302:D302"/>
    <mergeCell ref="B303:D303"/>
    <mergeCell ref="B241:D241"/>
    <mergeCell ref="B242:D242"/>
    <mergeCell ref="B243:D243"/>
    <mergeCell ref="B244:D244"/>
    <mergeCell ref="B773:D773"/>
    <mergeCell ref="B774:D774"/>
    <mergeCell ref="B775:D775"/>
    <mergeCell ref="B776:D776"/>
    <mergeCell ref="B777:D777"/>
    <mergeCell ref="B778:D778"/>
    <mergeCell ref="B762:D762"/>
    <mergeCell ref="B763:D763"/>
    <mergeCell ref="B764:D764"/>
    <mergeCell ref="B765:D765"/>
    <mergeCell ref="B766:D766"/>
    <mergeCell ref="B767:D767"/>
    <mergeCell ref="B768:D768"/>
    <mergeCell ref="B769:D769"/>
    <mergeCell ref="B770:D770"/>
    <mergeCell ref="B667:D667"/>
    <mergeCell ref="B668:D668"/>
    <mergeCell ref="B771:D771"/>
    <mergeCell ref="B772:D772"/>
    <mergeCell ref="B753:D753"/>
    <mergeCell ref="B754:D754"/>
    <mergeCell ref="B755:D755"/>
    <mergeCell ref="B756:D756"/>
    <mergeCell ref="B757:D757"/>
    <mergeCell ref="B758:D758"/>
    <mergeCell ref="B759:D759"/>
    <mergeCell ref="B760:D760"/>
    <mergeCell ref="B761:D761"/>
    <mergeCell ref="B722:D722"/>
    <mergeCell ref="B745:D745"/>
    <mergeCell ref="B746:D746"/>
    <mergeCell ref="B747:D747"/>
    <mergeCell ref="B748:D748"/>
    <mergeCell ref="B749:D749"/>
    <mergeCell ref="B750:D750"/>
    <mergeCell ref="B751:D751"/>
    <mergeCell ref="B752:D752"/>
    <mergeCell ref="B713:D713"/>
    <mergeCell ref="B714:D714"/>
    <mergeCell ref="B423:D423"/>
    <mergeCell ref="B424:D424"/>
    <mergeCell ref="B425:D425"/>
    <mergeCell ref="B426:D426"/>
    <mergeCell ref="B427:D427"/>
    <mergeCell ref="B428:D428"/>
    <mergeCell ref="B429:D429"/>
    <mergeCell ref="B430:D430"/>
    <mergeCell ref="B431:D431"/>
    <mergeCell ref="B452:D452"/>
    <mergeCell ref="B453:D453"/>
    <mergeCell ref="B454:D454"/>
    <mergeCell ref="B455:D455"/>
    <mergeCell ref="B456:D456"/>
    <mergeCell ref="B457:D457"/>
    <mergeCell ref="B458:D458"/>
    <mergeCell ref="B459:D459"/>
    <mergeCell ref="B460:D460"/>
    <mergeCell ref="B548:D548"/>
    <mergeCell ref="B549:D549"/>
    <mergeCell ref="B550:D550"/>
    <mergeCell ref="B551:D551"/>
    <mergeCell ref="B552:D552"/>
    <mergeCell ref="B553:D553"/>
    <mergeCell ref="B554:D554"/>
    <mergeCell ref="B537:D537"/>
    <mergeCell ref="B538:D538"/>
    <mergeCell ref="B539:D539"/>
    <mergeCell ref="B540:D540"/>
    <mergeCell ref="B541:D541"/>
    <mergeCell ref="B542:D542"/>
    <mergeCell ref="B543:D543"/>
    <mergeCell ref="B544:D544"/>
    <mergeCell ref="B545:D545"/>
    <mergeCell ref="B472:D472"/>
    <mergeCell ref="B473:D473"/>
    <mergeCell ref="B474:D474"/>
    <mergeCell ref="B475:D475"/>
    <mergeCell ref="B800:D800"/>
    <mergeCell ref="B801:D801"/>
    <mergeCell ref="B802:D802"/>
    <mergeCell ref="B803:D803"/>
    <mergeCell ref="B804:D804"/>
    <mergeCell ref="B555:D555"/>
    <mergeCell ref="B556:D556"/>
    <mergeCell ref="B557:D557"/>
    <mergeCell ref="B558:D558"/>
    <mergeCell ref="B559:D559"/>
    <mergeCell ref="B560:D560"/>
    <mergeCell ref="B522:D522"/>
    <mergeCell ref="B523:D523"/>
    <mergeCell ref="B524:D524"/>
    <mergeCell ref="B525:D525"/>
    <mergeCell ref="B526:D526"/>
    <mergeCell ref="B527:D527"/>
    <mergeCell ref="B528:D528"/>
    <mergeCell ref="B546:D546"/>
    <mergeCell ref="B547:D547"/>
    <mergeCell ref="B821:D821"/>
    <mergeCell ref="B822:D822"/>
    <mergeCell ref="B805:D805"/>
    <mergeCell ref="B806:D806"/>
    <mergeCell ref="B807:D807"/>
    <mergeCell ref="B808:D808"/>
    <mergeCell ref="B809:D809"/>
    <mergeCell ref="B810:D810"/>
    <mergeCell ref="B811:D811"/>
    <mergeCell ref="B812:D812"/>
    <mergeCell ref="B813:D813"/>
    <mergeCell ref="B823:D823"/>
    <mergeCell ref="B824:D824"/>
    <mergeCell ref="B825:D825"/>
    <mergeCell ref="B826:D826"/>
    <mergeCell ref="B827:D827"/>
    <mergeCell ref="B828:D828"/>
    <mergeCell ref="B829:D829"/>
    <mergeCell ref="B830:D830"/>
    <mergeCell ref="B723:D723"/>
    <mergeCell ref="B724:D724"/>
    <mergeCell ref="B725:D725"/>
    <mergeCell ref="B726:D726"/>
    <mergeCell ref="B727:D727"/>
    <mergeCell ref="B728:D728"/>
    <mergeCell ref="B729:D729"/>
    <mergeCell ref="B730:D730"/>
    <mergeCell ref="B731:D731"/>
    <mergeCell ref="B814:D814"/>
    <mergeCell ref="B815:D815"/>
    <mergeCell ref="B816:D816"/>
    <mergeCell ref="B817:D817"/>
    <mergeCell ref="B818:D818"/>
    <mergeCell ref="B819:D819"/>
    <mergeCell ref="B820:D82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M49"/>
  <sheetViews>
    <sheetView workbookViewId="0">
      <selection activeCell="A8" sqref="A8"/>
    </sheetView>
  </sheetViews>
  <sheetFormatPr baseColWidth="10" defaultRowHeight="15" x14ac:dyDescent="0.25"/>
  <cols>
    <col min="4" max="4" width="26" customWidth="1"/>
    <col min="6" max="6" width="19.42578125" bestFit="1" customWidth="1"/>
  </cols>
  <sheetData>
    <row r="6" spans="1:13" x14ac:dyDescent="0.25">
      <c r="A6" s="9" t="s">
        <v>34</v>
      </c>
      <c r="B6" s="35" t="s">
        <v>0</v>
      </c>
      <c r="C6" s="35"/>
      <c r="D6" s="35"/>
      <c r="E6" s="9" t="s">
        <v>3</v>
      </c>
      <c r="F6" s="9" t="s">
        <v>391</v>
      </c>
      <c r="G6" s="9" t="s">
        <v>4</v>
      </c>
      <c r="H6" s="9" t="s">
        <v>5</v>
      </c>
      <c r="I6" s="7" t="s">
        <v>37</v>
      </c>
      <c r="J6" s="9"/>
      <c r="K6" s="9" t="s">
        <v>3</v>
      </c>
      <c r="L6" s="9" t="s">
        <v>4</v>
      </c>
      <c r="M6" s="9" t="s">
        <v>5</v>
      </c>
    </row>
    <row r="7" spans="1:13" x14ac:dyDescent="0.25">
      <c r="A7" s="9"/>
      <c r="B7" s="36"/>
      <c r="C7" s="36"/>
      <c r="D7" s="36"/>
      <c r="E7" s="9"/>
      <c r="F7" s="9"/>
      <c r="G7" s="1"/>
      <c r="H7" s="1"/>
      <c r="I7" s="7"/>
      <c r="J7" s="9"/>
      <c r="K7" s="1"/>
      <c r="L7" s="1"/>
      <c r="M7" s="1"/>
    </row>
    <row r="8" spans="1:13" x14ac:dyDescent="0.25">
      <c r="A8" s="9" t="s">
        <v>179</v>
      </c>
      <c r="B8" s="26" t="s">
        <v>456</v>
      </c>
      <c r="C8" s="26"/>
      <c r="D8" s="26"/>
      <c r="E8" s="9">
        <v>3</v>
      </c>
      <c r="F8" s="9"/>
      <c r="G8" s="1">
        <f>((Fórmulas!C$6/Fórmulas!D$6)/Fórmulas!E$8)*E8</f>
        <v>6.4285714285714288</v>
      </c>
      <c r="H8" s="1">
        <f>G8*Fórmulas!B$9</f>
        <v>2250</v>
      </c>
      <c r="I8" s="7">
        <f t="shared" ref="I8" si="0">E8/0.6</f>
        <v>5</v>
      </c>
      <c r="J8" s="9"/>
      <c r="K8" s="1">
        <v>1</v>
      </c>
      <c r="L8" s="1">
        <f>((Fórmulas!C$6/Fórmulas!D$6)/0.8)*K8</f>
        <v>2.1428571428571428</v>
      </c>
      <c r="M8" s="1">
        <f>L8*Fórmulas!D$6</f>
        <v>750</v>
      </c>
    </row>
    <row r="9" spans="1:13" x14ac:dyDescent="0.25">
      <c r="A9" t="s">
        <v>179</v>
      </c>
      <c r="B9" s="26" t="s">
        <v>457</v>
      </c>
      <c r="C9" s="26"/>
      <c r="D9" s="26"/>
      <c r="E9" s="9">
        <v>3.5</v>
      </c>
      <c r="F9" s="9"/>
      <c r="G9" s="1">
        <f>((Fórmulas!C$6/Fórmulas!D$6)/Fórmulas!E$8)*E9</f>
        <v>7.5</v>
      </c>
      <c r="H9" s="1">
        <f>G9*Fórmulas!B$9</f>
        <v>2625</v>
      </c>
      <c r="I9" s="7">
        <f t="shared" ref="I9:I49" si="1">E9/0.6</f>
        <v>5.8333333333333339</v>
      </c>
      <c r="J9" s="9"/>
      <c r="K9" s="1">
        <v>1</v>
      </c>
      <c r="L9" s="1">
        <f>((Fórmulas!C$6/Fórmulas!D$6)/0.8)*K9</f>
        <v>2.1428571428571428</v>
      </c>
      <c r="M9" s="1">
        <f>L9*Fórmulas!D$6</f>
        <v>750</v>
      </c>
    </row>
    <row r="10" spans="1:13" x14ac:dyDescent="0.25">
      <c r="A10" t="s">
        <v>312</v>
      </c>
      <c r="B10" s="40" t="s">
        <v>458</v>
      </c>
      <c r="C10" s="40"/>
      <c r="D10" s="40"/>
      <c r="E10" s="9">
        <v>26</v>
      </c>
      <c r="F10" s="9"/>
      <c r="G10" s="1">
        <f>((Fórmulas!C$6/Fórmulas!D$6)/Fórmulas!E$8)*E10</f>
        <v>55.714285714285715</v>
      </c>
      <c r="H10" s="1">
        <f>G10*Fórmulas!B$9</f>
        <v>19500</v>
      </c>
      <c r="I10" s="7">
        <f t="shared" si="1"/>
        <v>43.333333333333336</v>
      </c>
      <c r="J10" s="9"/>
      <c r="K10" s="1">
        <v>1</v>
      </c>
      <c r="L10" s="1">
        <f>((Fórmulas!C$6/Fórmulas!D$6)/0.8)*K10</f>
        <v>2.1428571428571428</v>
      </c>
      <c r="M10" s="1">
        <f>L10*Fórmulas!D$6</f>
        <v>750</v>
      </c>
    </row>
    <row r="11" spans="1:13" x14ac:dyDescent="0.25">
      <c r="A11" s="11" t="s">
        <v>312</v>
      </c>
      <c r="B11" s="29" t="s">
        <v>318</v>
      </c>
      <c r="C11" s="27"/>
      <c r="D11" s="27"/>
      <c r="E11" s="11">
        <v>23</v>
      </c>
      <c r="F11" s="11"/>
      <c r="G11" s="1">
        <f>((Fórmulas!C$6/Fórmulas!D$6)/Fórmulas!E$8)*E11</f>
        <v>49.285714285714285</v>
      </c>
      <c r="H11" s="1">
        <f>G11*Fórmulas!B$9</f>
        <v>17250</v>
      </c>
      <c r="I11" s="7">
        <f t="shared" si="1"/>
        <v>38.333333333333336</v>
      </c>
      <c r="J11" s="11"/>
      <c r="K11" s="1">
        <v>1</v>
      </c>
      <c r="L11" s="1">
        <f>((Fórmulas!C$6/Fórmulas!D$6)/0.8)*K11</f>
        <v>2.1428571428571428</v>
      </c>
      <c r="M11" s="1">
        <f>L11*Fórmulas!D$6</f>
        <v>750</v>
      </c>
    </row>
    <row r="12" spans="1:13" x14ac:dyDescent="0.25">
      <c r="A12" s="11" t="s">
        <v>312</v>
      </c>
      <c r="B12" s="27" t="s">
        <v>319</v>
      </c>
      <c r="C12" s="27"/>
      <c r="D12" s="27"/>
      <c r="E12" s="11">
        <v>73</v>
      </c>
      <c r="F12" s="11"/>
      <c r="G12" s="1">
        <f>((Fórmulas!C$6/Fórmulas!D$6)/Fórmulas!E$8)*E12</f>
        <v>156.42857142857142</v>
      </c>
      <c r="H12" s="1">
        <f>G12*Fórmulas!B$9</f>
        <v>54749.999999999993</v>
      </c>
      <c r="I12" s="7">
        <f t="shared" si="1"/>
        <v>121.66666666666667</v>
      </c>
      <c r="J12" s="11"/>
      <c r="K12" s="1">
        <v>1</v>
      </c>
      <c r="L12" s="1">
        <f>((Fórmulas!C$6/Fórmulas!D$6)/0.8)*K12</f>
        <v>2.1428571428571428</v>
      </c>
      <c r="M12" s="1">
        <f>L12*Fórmulas!D$6</f>
        <v>750</v>
      </c>
    </row>
    <row r="13" spans="1:13" x14ac:dyDescent="0.25">
      <c r="A13" s="11" t="s">
        <v>312</v>
      </c>
      <c r="B13" s="27" t="s">
        <v>313</v>
      </c>
      <c r="C13" s="27"/>
      <c r="D13" s="27"/>
      <c r="E13" s="11">
        <v>41</v>
      </c>
      <c r="F13" s="9"/>
      <c r="G13" s="1">
        <f>((Fórmulas!C$6/Fórmulas!D$6)/Fórmulas!E$8)*E13</f>
        <v>87.857142857142861</v>
      </c>
      <c r="H13" s="1">
        <f>G13*Fórmulas!B$9</f>
        <v>30750</v>
      </c>
      <c r="I13" s="7">
        <f t="shared" si="1"/>
        <v>68.333333333333343</v>
      </c>
      <c r="J13" s="9"/>
      <c r="K13" s="1">
        <v>1</v>
      </c>
      <c r="L13" s="1">
        <f>((Fórmulas!C$6/Fórmulas!D$6)/0.8)*K13</f>
        <v>2.1428571428571428</v>
      </c>
      <c r="M13" s="1">
        <f>L13*Fórmulas!D$6</f>
        <v>750</v>
      </c>
    </row>
    <row r="14" spans="1:13" x14ac:dyDescent="0.25">
      <c r="A14" s="11" t="s">
        <v>312</v>
      </c>
      <c r="B14" s="27" t="s">
        <v>314</v>
      </c>
      <c r="C14" s="27"/>
      <c r="D14" s="27"/>
      <c r="E14" s="11">
        <v>73</v>
      </c>
      <c r="F14" s="9"/>
      <c r="G14" s="1">
        <f>((Fórmulas!C$6/Fórmulas!D$6)/Fórmulas!E$8)*E14</f>
        <v>156.42857142857142</v>
      </c>
      <c r="H14" s="1">
        <f>G14*Fórmulas!B$9</f>
        <v>54749.999999999993</v>
      </c>
      <c r="I14" s="7">
        <f t="shared" si="1"/>
        <v>121.66666666666667</v>
      </c>
      <c r="J14" s="9"/>
      <c r="K14" s="1">
        <v>1</v>
      </c>
      <c r="L14" s="1">
        <f>((Fórmulas!C$6/Fórmulas!D$6)/0.8)*K14</f>
        <v>2.1428571428571428</v>
      </c>
      <c r="M14" s="1">
        <f>L14*Fórmulas!D$6</f>
        <v>750</v>
      </c>
    </row>
    <row r="15" spans="1:13" x14ac:dyDescent="0.25">
      <c r="A15" s="11" t="s">
        <v>312</v>
      </c>
      <c r="B15" s="27" t="s">
        <v>315</v>
      </c>
      <c r="C15" s="27"/>
      <c r="D15" s="27"/>
      <c r="E15" s="11">
        <v>73</v>
      </c>
      <c r="F15" s="9"/>
      <c r="G15" s="1">
        <f>((Fórmulas!C$6/Fórmulas!D$6)/Fórmulas!E$8)*E15</f>
        <v>156.42857142857142</v>
      </c>
      <c r="H15" s="1">
        <f>G15*Fórmulas!B$9</f>
        <v>54749.999999999993</v>
      </c>
      <c r="I15" s="7">
        <f t="shared" si="1"/>
        <v>121.66666666666667</v>
      </c>
      <c r="J15" s="9"/>
      <c r="K15" s="1">
        <v>1</v>
      </c>
      <c r="L15" s="1">
        <f>((Fórmulas!C$6/Fórmulas!D$6)/0.8)*K15</f>
        <v>2.1428571428571428</v>
      </c>
      <c r="M15" s="1">
        <f>L15*Fórmulas!D$6</f>
        <v>750</v>
      </c>
    </row>
    <row r="16" spans="1:13" x14ac:dyDescent="0.25">
      <c r="A16" s="11" t="s">
        <v>312</v>
      </c>
      <c r="B16" s="41" t="s">
        <v>316</v>
      </c>
      <c r="C16" s="41"/>
      <c r="D16" s="41"/>
      <c r="E16" s="11">
        <v>27</v>
      </c>
      <c r="F16" s="9"/>
      <c r="G16" s="1">
        <f>((Fórmulas!C$6/Fórmulas!D$6)/Fórmulas!E$8)*E16</f>
        <v>57.857142857142854</v>
      </c>
      <c r="H16" s="1">
        <f>G16*Fórmulas!B$9</f>
        <v>20250</v>
      </c>
      <c r="I16" s="7">
        <f t="shared" si="1"/>
        <v>45</v>
      </c>
      <c r="J16" s="9"/>
      <c r="K16" s="1">
        <v>1</v>
      </c>
      <c r="L16" s="1">
        <f>((Fórmulas!C$6/Fórmulas!D$6)/0.8)*K16</f>
        <v>2.1428571428571428</v>
      </c>
      <c r="M16" s="1">
        <f>L16*Fórmulas!D$6</f>
        <v>750</v>
      </c>
    </row>
    <row r="17" spans="1:13" x14ac:dyDescent="0.25">
      <c r="A17" s="11" t="s">
        <v>312</v>
      </c>
      <c r="B17" s="27" t="s">
        <v>317</v>
      </c>
      <c r="C17" s="27"/>
      <c r="D17" s="27"/>
      <c r="E17" s="11">
        <v>19</v>
      </c>
      <c r="F17" s="9"/>
      <c r="G17" s="1">
        <f>((Fórmulas!C$6/Fórmulas!D$6)/Fórmulas!E$8)*E17</f>
        <v>40.714285714285715</v>
      </c>
      <c r="H17" s="1">
        <f>G17*Fórmulas!B$9</f>
        <v>14250</v>
      </c>
      <c r="I17" s="7">
        <f t="shared" si="1"/>
        <v>31.666666666666668</v>
      </c>
      <c r="J17" s="9"/>
      <c r="K17" s="1">
        <v>1</v>
      </c>
      <c r="L17" s="1">
        <f>((Fórmulas!C$6/Fórmulas!D$6)/0.8)*K17</f>
        <v>2.1428571428571428</v>
      </c>
      <c r="M17" s="1">
        <f>L17*Fórmulas!D$6</f>
        <v>750</v>
      </c>
    </row>
    <row r="18" spans="1:13" x14ac:dyDescent="0.25">
      <c r="B18" s="26"/>
      <c r="C18" s="26"/>
      <c r="D18" s="26"/>
      <c r="E18" s="9">
        <v>0</v>
      </c>
      <c r="F18" s="9"/>
      <c r="G18" s="1">
        <f>((Fórmulas!C$6/Fórmulas!D$6)/Fórmulas!E$8)*E18</f>
        <v>0</v>
      </c>
      <c r="H18" s="1">
        <f>G18*Fórmulas!B$9</f>
        <v>0</v>
      </c>
      <c r="I18" s="7">
        <f t="shared" si="1"/>
        <v>0</v>
      </c>
      <c r="J18" s="9"/>
      <c r="K18" s="1">
        <v>1</v>
      </c>
      <c r="L18" s="1">
        <f>((Fórmulas!C$6/Fórmulas!D$6)/0.8)*K18</f>
        <v>2.1428571428571428</v>
      </c>
      <c r="M18" s="1">
        <f>L18*Fórmulas!D$6</f>
        <v>750</v>
      </c>
    </row>
    <row r="19" spans="1:13" x14ac:dyDescent="0.25">
      <c r="B19" s="26"/>
      <c r="C19" s="26"/>
      <c r="D19" s="26"/>
      <c r="E19" s="9">
        <v>0</v>
      </c>
      <c r="F19" s="9"/>
      <c r="G19" s="1">
        <f>((Fórmulas!C$6/Fórmulas!D$6)/Fórmulas!E$8)*E19</f>
        <v>0</v>
      </c>
      <c r="H19" s="1">
        <f>G19*Fórmulas!B$9</f>
        <v>0</v>
      </c>
      <c r="I19" s="7">
        <f t="shared" si="1"/>
        <v>0</v>
      </c>
      <c r="J19" s="9"/>
      <c r="K19" s="1">
        <v>1</v>
      </c>
      <c r="L19" s="1">
        <f>((Fórmulas!C$6/Fórmulas!D$6)/0.8)*K19</f>
        <v>2.1428571428571428</v>
      </c>
      <c r="M19" s="1">
        <f>L19*Fórmulas!D$6</f>
        <v>750</v>
      </c>
    </row>
    <row r="20" spans="1:13" x14ac:dyDescent="0.25">
      <c r="B20" s="26"/>
      <c r="C20" s="26"/>
      <c r="D20" s="26"/>
      <c r="E20" s="9">
        <v>0</v>
      </c>
      <c r="F20" s="9"/>
      <c r="G20" s="1">
        <f>((Fórmulas!C$6/Fórmulas!D$6)/Fórmulas!E$8)*E20</f>
        <v>0</v>
      </c>
      <c r="H20" s="1">
        <f>G20*Fórmulas!B$9</f>
        <v>0</v>
      </c>
      <c r="I20" s="7">
        <f t="shared" si="1"/>
        <v>0</v>
      </c>
      <c r="J20" s="9"/>
      <c r="K20" s="1">
        <v>1</v>
      </c>
      <c r="L20" s="1">
        <f>((Fórmulas!C$6/Fórmulas!D$6)/0.8)*K20</f>
        <v>2.1428571428571428</v>
      </c>
      <c r="M20" s="1">
        <f>L20*Fórmulas!D$6</f>
        <v>750</v>
      </c>
    </row>
    <row r="21" spans="1:13" x14ac:dyDescent="0.25">
      <c r="B21" s="26"/>
      <c r="C21" s="26"/>
      <c r="D21" s="26"/>
      <c r="E21" s="9">
        <v>0</v>
      </c>
      <c r="F21" s="9"/>
      <c r="G21" s="1">
        <f>((Fórmulas!C$6/Fórmulas!D$6)/Fórmulas!E$8)*E21</f>
        <v>0</v>
      </c>
      <c r="H21" s="1">
        <f>G21*Fórmulas!B$9</f>
        <v>0</v>
      </c>
      <c r="I21" s="7">
        <f t="shared" si="1"/>
        <v>0</v>
      </c>
      <c r="J21" s="9"/>
      <c r="K21" s="1">
        <v>1</v>
      </c>
      <c r="L21" s="1">
        <f>((Fórmulas!C$6/Fórmulas!D$6)/0.8)*K21</f>
        <v>2.1428571428571428</v>
      </c>
      <c r="M21" s="1">
        <f>L21*Fórmulas!D$6</f>
        <v>750</v>
      </c>
    </row>
    <row r="22" spans="1:13" x14ac:dyDescent="0.25">
      <c r="B22" s="26"/>
      <c r="C22" s="26"/>
      <c r="D22" s="26"/>
      <c r="E22" s="9">
        <v>0</v>
      </c>
      <c r="F22" s="9"/>
      <c r="G22" s="1">
        <f>((Fórmulas!C$6/Fórmulas!D$6)/Fórmulas!E$8)*E22</f>
        <v>0</v>
      </c>
      <c r="H22" s="1">
        <f>G22*Fórmulas!B$9</f>
        <v>0</v>
      </c>
      <c r="I22" s="7">
        <f t="shared" si="1"/>
        <v>0</v>
      </c>
      <c r="J22" s="9"/>
      <c r="K22" s="1">
        <v>1</v>
      </c>
      <c r="L22" s="1">
        <f>((Fórmulas!C$6/Fórmulas!D$6)/0.8)*K22</f>
        <v>2.1428571428571428</v>
      </c>
      <c r="M22" s="1">
        <f>L22*Fórmulas!D$6</f>
        <v>750</v>
      </c>
    </row>
    <row r="23" spans="1:13" x14ac:dyDescent="0.25">
      <c r="B23" s="26"/>
      <c r="C23" s="26"/>
      <c r="D23" s="26"/>
      <c r="E23" s="9">
        <v>0</v>
      </c>
      <c r="F23" s="9"/>
      <c r="G23" s="1">
        <f>((Fórmulas!C$6/Fórmulas!D$6)/Fórmulas!E$8)*E23</f>
        <v>0</v>
      </c>
      <c r="H23" s="1">
        <f>G23*Fórmulas!B$9</f>
        <v>0</v>
      </c>
      <c r="I23" s="7">
        <f t="shared" si="1"/>
        <v>0</v>
      </c>
      <c r="J23" s="9"/>
      <c r="K23" s="1">
        <v>1</v>
      </c>
      <c r="L23" s="1">
        <f>((Fórmulas!C$6/Fórmulas!D$6)/0.8)*K23</f>
        <v>2.1428571428571428</v>
      </c>
      <c r="M23" s="1">
        <f>L23*Fórmulas!D$6</f>
        <v>750</v>
      </c>
    </row>
    <row r="24" spans="1:13" x14ac:dyDescent="0.25">
      <c r="B24" s="26"/>
      <c r="C24" s="26"/>
      <c r="D24" s="26"/>
      <c r="E24" s="9">
        <v>0</v>
      </c>
      <c r="F24" s="9"/>
      <c r="G24" s="1">
        <f>((Fórmulas!C$6/Fórmulas!D$6)/Fórmulas!E$8)*E24</f>
        <v>0</v>
      </c>
      <c r="H24" s="1">
        <f>G24*Fórmulas!B$9</f>
        <v>0</v>
      </c>
      <c r="I24" s="7">
        <f t="shared" si="1"/>
        <v>0</v>
      </c>
      <c r="J24" s="9"/>
      <c r="K24" s="1">
        <v>1</v>
      </c>
      <c r="L24" s="1">
        <f>((Fórmulas!C$6/Fórmulas!D$6)/0.8)*K24</f>
        <v>2.1428571428571428</v>
      </c>
      <c r="M24" s="1">
        <f>L24*Fórmulas!D$6</f>
        <v>750</v>
      </c>
    </row>
    <row r="25" spans="1:13" x14ac:dyDescent="0.25">
      <c r="B25" s="26"/>
      <c r="C25" s="26"/>
      <c r="D25" s="26"/>
      <c r="E25" s="9">
        <v>0</v>
      </c>
      <c r="F25" s="9"/>
      <c r="G25" s="1">
        <f>((Fórmulas!C$6/Fórmulas!D$6)/Fórmulas!E$8)*E25</f>
        <v>0</v>
      </c>
      <c r="H25" s="1">
        <f>G25*Fórmulas!B$9</f>
        <v>0</v>
      </c>
      <c r="I25" s="7">
        <f t="shared" si="1"/>
        <v>0</v>
      </c>
      <c r="J25" s="9"/>
      <c r="K25" s="1">
        <v>1</v>
      </c>
      <c r="L25" s="1">
        <f>((Fórmulas!C$6/Fórmulas!D$6)/0.8)*K25</f>
        <v>2.1428571428571428</v>
      </c>
      <c r="M25" s="1">
        <f>L25*Fórmulas!D$6</f>
        <v>750</v>
      </c>
    </row>
    <row r="26" spans="1:13" x14ac:dyDescent="0.25">
      <c r="B26" s="26"/>
      <c r="C26" s="26"/>
      <c r="D26" s="26"/>
      <c r="E26" s="9">
        <v>0</v>
      </c>
      <c r="F26" s="9"/>
      <c r="G26" s="1">
        <f>((Fórmulas!C$6/Fórmulas!D$6)/Fórmulas!E$8)*E26</f>
        <v>0</v>
      </c>
      <c r="H26" s="1">
        <f>G26*Fórmulas!B$9</f>
        <v>0</v>
      </c>
      <c r="I26" s="7">
        <f t="shared" si="1"/>
        <v>0</v>
      </c>
      <c r="J26" s="9"/>
      <c r="K26" s="1">
        <v>1</v>
      </c>
      <c r="L26" s="1">
        <f>((Fórmulas!C$6/Fórmulas!D$6)/0.8)*K26</f>
        <v>2.1428571428571428</v>
      </c>
      <c r="M26" s="1">
        <f>L26*Fórmulas!D$6</f>
        <v>750</v>
      </c>
    </row>
    <row r="27" spans="1:13" x14ac:dyDescent="0.25">
      <c r="B27" s="26"/>
      <c r="C27" s="26"/>
      <c r="D27" s="26"/>
      <c r="E27" s="9">
        <v>0</v>
      </c>
      <c r="F27" s="9"/>
      <c r="G27" s="1">
        <f>((Fórmulas!C$6/Fórmulas!D$6)/Fórmulas!E$8)*E27</f>
        <v>0</v>
      </c>
      <c r="H27" s="1">
        <f>G27*Fórmulas!B$9</f>
        <v>0</v>
      </c>
      <c r="I27" s="7">
        <f t="shared" si="1"/>
        <v>0</v>
      </c>
      <c r="J27" s="9"/>
      <c r="K27" s="1">
        <v>1</v>
      </c>
      <c r="L27" s="1">
        <f>((Fórmulas!C$6/Fórmulas!D$6)/0.8)*K27</f>
        <v>2.1428571428571428</v>
      </c>
      <c r="M27" s="1">
        <f>L27*Fórmulas!D$6</f>
        <v>750</v>
      </c>
    </row>
    <row r="28" spans="1:13" x14ac:dyDescent="0.25">
      <c r="B28" s="26"/>
      <c r="C28" s="26"/>
      <c r="D28" s="26"/>
      <c r="E28" s="9">
        <v>0</v>
      </c>
      <c r="F28" s="9"/>
      <c r="G28" s="1">
        <f>((Fórmulas!C$6/Fórmulas!D$6)/Fórmulas!E$8)*E28</f>
        <v>0</v>
      </c>
      <c r="H28" s="1">
        <f>G28*Fórmulas!B$9</f>
        <v>0</v>
      </c>
      <c r="I28" s="7">
        <f t="shared" si="1"/>
        <v>0</v>
      </c>
      <c r="J28" s="9"/>
      <c r="K28" s="1">
        <v>1</v>
      </c>
      <c r="L28" s="1">
        <f>((Fórmulas!C$6/Fórmulas!D$6)/0.8)*K28</f>
        <v>2.1428571428571428</v>
      </c>
      <c r="M28" s="1">
        <f>L28*Fórmulas!D$6</f>
        <v>750</v>
      </c>
    </row>
    <row r="29" spans="1:13" x14ac:dyDescent="0.25">
      <c r="B29" s="26"/>
      <c r="C29" s="26"/>
      <c r="D29" s="26"/>
      <c r="E29" s="9">
        <v>0</v>
      </c>
      <c r="F29" s="9"/>
      <c r="G29" s="1">
        <f>((Fórmulas!C$6/Fórmulas!D$6)/Fórmulas!E$8)*E29</f>
        <v>0</v>
      </c>
      <c r="H29" s="1">
        <f>G29*Fórmulas!B$9</f>
        <v>0</v>
      </c>
      <c r="I29" s="7">
        <f t="shared" si="1"/>
        <v>0</v>
      </c>
      <c r="J29" s="9"/>
      <c r="K29" s="1">
        <v>1</v>
      </c>
      <c r="L29" s="1">
        <f>((Fórmulas!C$6/Fórmulas!D$6)/0.8)*K29</f>
        <v>2.1428571428571428</v>
      </c>
      <c r="M29" s="1">
        <f>L29*Fórmulas!D$6</f>
        <v>750</v>
      </c>
    </row>
    <row r="30" spans="1:13" x14ac:dyDescent="0.25">
      <c r="B30" s="26"/>
      <c r="C30" s="26"/>
      <c r="D30" s="26"/>
      <c r="E30" s="9">
        <v>0</v>
      </c>
      <c r="F30" s="9"/>
      <c r="G30" s="1">
        <f>((Fórmulas!C$6/Fórmulas!D$6)/Fórmulas!E$8)*E30</f>
        <v>0</v>
      </c>
      <c r="H30" s="1">
        <f>G30*Fórmulas!B$9</f>
        <v>0</v>
      </c>
      <c r="I30" s="7">
        <f t="shared" si="1"/>
        <v>0</v>
      </c>
      <c r="J30" s="9"/>
      <c r="K30" s="1">
        <v>1</v>
      </c>
      <c r="L30" s="1">
        <f>((Fórmulas!C$6/Fórmulas!D$6)/0.8)*K30</f>
        <v>2.1428571428571428</v>
      </c>
      <c r="M30" s="1">
        <f>L30*Fórmulas!D$6</f>
        <v>750</v>
      </c>
    </row>
    <row r="31" spans="1:13" x14ac:dyDescent="0.25">
      <c r="B31" s="26"/>
      <c r="C31" s="26"/>
      <c r="D31" s="26"/>
      <c r="E31" s="9">
        <v>0</v>
      </c>
      <c r="F31" s="9"/>
      <c r="G31" s="1">
        <f>((Fórmulas!C$6/Fórmulas!D$6)/Fórmulas!E$8)*E31</f>
        <v>0</v>
      </c>
      <c r="H31" s="1">
        <f>G31*Fórmulas!B$9</f>
        <v>0</v>
      </c>
      <c r="I31" s="7">
        <f t="shared" si="1"/>
        <v>0</v>
      </c>
      <c r="J31" s="9"/>
      <c r="K31" s="1">
        <v>1</v>
      </c>
      <c r="L31" s="1">
        <f>((Fórmulas!C$6/Fórmulas!D$6)/0.8)*K31</f>
        <v>2.1428571428571428</v>
      </c>
      <c r="M31" s="1">
        <f>L31*Fórmulas!D$6</f>
        <v>750</v>
      </c>
    </row>
    <row r="32" spans="1:13" x14ac:dyDescent="0.25">
      <c r="B32" s="26"/>
      <c r="C32" s="26"/>
      <c r="D32" s="26"/>
      <c r="E32" s="9">
        <v>0</v>
      </c>
      <c r="F32" s="9"/>
      <c r="G32" s="1">
        <f>((Fórmulas!C$6/Fórmulas!D$6)/Fórmulas!E$8)*E32</f>
        <v>0</v>
      </c>
      <c r="H32" s="1">
        <f>G32*Fórmulas!B$9</f>
        <v>0</v>
      </c>
      <c r="I32" s="7">
        <f t="shared" si="1"/>
        <v>0</v>
      </c>
      <c r="J32" s="9"/>
      <c r="K32" s="1">
        <v>1</v>
      </c>
      <c r="L32" s="1">
        <f>((Fórmulas!C$6/Fórmulas!D$6)/0.8)*K32</f>
        <v>2.1428571428571428</v>
      </c>
      <c r="M32" s="1">
        <f>L32*Fórmulas!D$6</f>
        <v>750</v>
      </c>
    </row>
    <row r="33" spans="2:13" x14ac:dyDescent="0.25">
      <c r="B33" s="26"/>
      <c r="C33" s="26"/>
      <c r="D33" s="26"/>
      <c r="E33" s="9">
        <v>0</v>
      </c>
      <c r="F33" s="9"/>
      <c r="G33" s="1">
        <f>((Fórmulas!C$6/Fórmulas!D$6)/Fórmulas!E$8)*E33</f>
        <v>0</v>
      </c>
      <c r="H33" s="1">
        <f>G33*Fórmulas!B$9</f>
        <v>0</v>
      </c>
      <c r="I33" s="7">
        <f t="shared" si="1"/>
        <v>0</v>
      </c>
      <c r="J33" s="9"/>
      <c r="K33" s="1">
        <v>1</v>
      </c>
      <c r="L33" s="1">
        <f>((Fórmulas!C$6/Fórmulas!D$6)/0.8)*K33</f>
        <v>2.1428571428571428</v>
      </c>
      <c r="M33" s="1">
        <f>L33*Fórmulas!D$6</f>
        <v>750</v>
      </c>
    </row>
    <row r="34" spans="2:13" x14ac:dyDescent="0.25">
      <c r="B34" s="26"/>
      <c r="C34" s="26"/>
      <c r="D34" s="26"/>
      <c r="E34" s="9">
        <v>0</v>
      </c>
      <c r="F34" s="9"/>
      <c r="G34" s="1">
        <f>((Fórmulas!C$6/Fórmulas!D$6)/Fórmulas!E$8)*E34</f>
        <v>0</v>
      </c>
      <c r="H34" s="1">
        <f>G34*Fórmulas!B$9</f>
        <v>0</v>
      </c>
      <c r="I34" s="7">
        <f t="shared" si="1"/>
        <v>0</v>
      </c>
      <c r="J34" s="9"/>
      <c r="K34" s="1">
        <v>1</v>
      </c>
      <c r="L34" s="1">
        <f>((Fórmulas!C$6/Fórmulas!D$6)/0.8)*K34</f>
        <v>2.1428571428571428</v>
      </c>
      <c r="M34" s="1">
        <f>L34*Fórmulas!D$6</f>
        <v>750</v>
      </c>
    </row>
    <row r="35" spans="2:13" x14ac:dyDescent="0.25">
      <c r="B35" s="26"/>
      <c r="C35" s="26"/>
      <c r="D35" s="26"/>
      <c r="E35" s="9">
        <v>0</v>
      </c>
      <c r="F35" s="9"/>
      <c r="G35" s="1">
        <f>((Fórmulas!C$6/Fórmulas!D$6)/Fórmulas!E$8)*E35</f>
        <v>0</v>
      </c>
      <c r="H35" s="1">
        <f>G35*Fórmulas!B$9</f>
        <v>0</v>
      </c>
      <c r="I35" s="7">
        <f t="shared" si="1"/>
        <v>0</v>
      </c>
      <c r="J35" s="9"/>
      <c r="K35" s="1">
        <v>1</v>
      </c>
      <c r="L35" s="1">
        <f>((Fórmulas!C$6/Fórmulas!D$6)/0.8)*K35</f>
        <v>2.1428571428571428</v>
      </c>
      <c r="M35" s="1">
        <f>L35*Fórmulas!D$6</f>
        <v>750</v>
      </c>
    </row>
    <row r="36" spans="2:13" x14ac:dyDescent="0.25">
      <c r="B36" s="26"/>
      <c r="C36" s="26"/>
      <c r="D36" s="26"/>
      <c r="E36" s="9">
        <v>0</v>
      </c>
      <c r="F36" s="9"/>
      <c r="G36" s="1">
        <f>((Fórmulas!C$6/Fórmulas!D$6)/Fórmulas!E$8)*E36</f>
        <v>0</v>
      </c>
      <c r="H36" s="1">
        <f>G36*Fórmulas!B$9</f>
        <v>0</v>
      </c>
      <c r="I36" s="7">
        <f t="shared" si="1"/>
        <v>0</v>
      </c>
      <c r="J36" s="9"/>
      <c r="K36" s="1">
        <v>1</v>
      </c>
      <c r="L36" s="1">
        <f>((Fórmulas!C$6/Fórmulas!D$6)/0.8)*K36</f>
        <v>2.1428571428571428</v>
      </c>
      <c r="M36" s="1">
        <f>L36*Fórmulas!D$6</f>
        <v>750</v>
      </c>
    </row>
    <row r="37" spans="2:13" x14ac:dyDescent="0.25">
      <c r="B37" s="26"/>
      <c r="C37" s="26"/>
      <c r="D37" s="26"/>
      <c r="E37" s="9">
        <v>0</v>
      </c>
      <c r="F37" s="9"/>
      <c r="G37" s="1">
        <f>((Fórmulas!C$6/Fórmulas!D$6)/Fórmulas!E$8)*E37</f>
        <v>0</v>
      </c>
      <c r="H37" s="1">
        <f>G37*Fórmulas!B$9</f>
        <v>0</v>
      </c>
      <c r="I37" s="7">
        <f t="shared" si="1"/>
        <v>0</v>
      </c>
      <c r="J37" s="9"/>
      <c r="K37" s="1">
        <v>1</v>
      </c>
      <c r="L37" s="1">
        <f>((Fórmulas!C$6/Fórmulas!D$6)/0.8)*K37</f>
        <v>2.1428571428571428</v>
      </c>
      <c r="M37" s="1">
        <f>L37*Fórmulas!D$6</f>
        <v>750</v>
      </c>
    </row>
    <row r="38" spans="2:13" x14ac:dyDescent="0.25">
      <c r="B38" s="26"/>
      <c r="C38" s="26"/>
      <c r="D38" s="26"/>
      <c r="E38" s="9">
        <v>0</v>
      </c>
      <c r="F38" s="9"/>
      <c r="G38" s="1">
        <f>((Fórmulas!C$6/Fórmulas!D$6)/Fórmulas!E$8)*E38</f>
        <v>0</v>
      </c>
      <c r="H38" s="1">
        <f>G38*Fórmulas!B$9</f>
        <v>0</v>
      </c>
      <c r="I38" s="7">
        <f t="shared" si="1"/>
        <v>0</v>
      </c>
      <c r="J38" s="9"/>
      <c r="K38" s="1">
        <v>1</v>
      </c>
      <c r="L38" s="1">
        <f>((Fórmulas!C$6/Fórmulas!D$6)/0.8)*K38</f>
        <v>2.1428571428571428</v>
      </c>
      <c r="M38" s="1">
        <f>L38*Fórmulas!D$6</f>
        <v>750</v>
      </c>
    </row>
    <row r="39" spans="2:13" x14ac:dyDescent="0.25">
      <c r="B39" s="26"/>
      <c r="C39" s="26"/>
      <c r="D39" s="26"/>
      <c r="E39" s="9">
        <v>0</v>
      </c>
      <c r="F39" s="9"/>
      <c r="G39" s="1">
        <f>((Fórmulas!C$6/Fórmulas!D$6)/Fórmulas!E$8)*E39</f>
        <v>0</v>
      </c>
      <c r="H39" s="1">
        <f>G39*Fórmulas!B$9</f>
        <v>0</v>
      </c>
      <c r="I39" s="7">
        <f t="shared" si="1"/>
        <v>0</v>
      </c>
      <c r="J39" s="9"/>
      <c r="K39" s="1">
        <v>1</v>
      </c>
      <c r="L39" s="1">
        <f>((Fórmulas!C$6/Fórmulas!D$6)/0.8)*K39</f>
        <v>2.1428571428571428</v>
      </c>
      <c r="M39" s="1">
        <f>L39*Fórmulas!D$6</f>
        <v>750</v>
      </c>
    </row>
    <row r="40" spans="2:13" x14ac:dyDescent="0.25">
      <c r="B40" s="26"/>
      <c r="C40" s="26"/>
      <c r="D40" s="26"/>
      <c r="E40" s="9">
        <v>0</v>
      </c>
      <c r="F40" s="9"/>
      <c r="G40" s="1">
        <f>((Fórmulas!C$6/Fórmulas!D$6)/Fórmulas!E$8)*E40</f>
        <v>0</v>
      </c>
      <c r="H40" s="1">
        <f>G40*Fórmulas!B$9</f>
        <v>0</v>
      </c>
      <c r="I40" s="7">
        <f t="shared" si="1"/>
        <v>0</v>
      </c>
      <c r="J40" s="9"/>
      <c r="K40" s="1">
        <v>1</v>
      </c>
      <c r="L40" s="1">
        <f>((Fórmulas!C$6/Fórmulas!D$6)/0.8)*K40</f>
        <v>2.1428571428571428</v>
      </c>
      <c r="M40" s="1">
        <f>L40*Fórmulas!D$6</f>
        <v>750</v>
      </c>
    </row>
    <row r="41" spans="2:13" x14ac:dyDescent="0.25">
      <c r="B41" s="26"/>
      <c r="C41" s="26"/>
      <c r="D41" s="26"/>
      <c r="E41" s="9">
        <v>0</v>
      </c>
      <c r="F41" s="9"/>
      <c r="G41" s="1">
        <f>((Fórmulas!C$6/Fórmulas!D$6)/Fórmulas!E$8)*E41</f>
        <v>0</v>
      </c>
      <c r="H41" s="1">
        <f>G41*Fórmulas!B$9</f>
        <v>0</v>
      </c>
      <c r="I41" s="7">
        <f t="shared" si="1"/>
        <v>0</v>
      </c>
      <c r="J41" s="9"/>
      <c r="K41" s="1">
        <v>1</v>
      </c>
      <c r="L41" s="1">
        <f>((Fórmulas!C$6/Fórmulas!D$6)/0.8)*K41</f>
        <v>2.1428571428571428</v>
      </c>
      <c r="M41" s="1">
        <f>L41*Fórmulas!D$6</f>
        <v>750</v>
      </c>
    </row>
    <row r="42" spans="2:13" x14ac:dyDescent="0.25">
      <c r="B42" s="26"/>
      <c r="C42" s="26"/>
      <c r="D42" s="26"/>
      <c r="E42" s="9">
        <v>0</v>
      </c>
      <c r="F42" s="9"/>
      <c r="G42" s="1">
        <f>((Fórmulas!C$6/Fórmulas!D$6)/Fórmulas!E$8)*E42</f>
        <v>0</v>
      </c>
      <c r="H42" s="1">
        <f>G42*Fórmulas!B$9</f>
        <v>0</v>
      </c>
      <c r="I42" s="7">
        <f t="shared" si="1"/>
        <v>0</v>
      </c>
      <c r="J42" s="9"/>
      <c r="K42" s="1">
        <v>1</v>
      </c>
      <c r="L42" s="1">
        <f>((Fórmulas!C$6/Fórmulas!D$6)/0.8)*K42</f>
        <v>2.1428571428571428</v>
      </c>
      <c r="M42" s="1">
        <f>L42*Fórmulas!D$6</f>
        <v>750</v>
      </c>
    </row>
    <row r="43" spans="2:13" x14ac:dyDescent="0.25">
      <c r="B43" s="26"/>
      <c r="C43" s="26"/>
      <c r="D43" s="26"/>
      <c r="E43" s="9">
        <v>0</v>
      </c>
      <c r="F43" s="9"/>
      <c r="G43" s="1">
        <f>((Fórmulas!C$6/Fórmulas!D$6)/Fórmulas!E$8)*E43</f>
        <v>0</v>
      </c>
      <c r="H43" s="1">
        <f>G43*Fórmulas!B$9</f>
        <v>0</v>
      </c>
      <c r="I43" s="7">
        <f t="shared" si="1"/>
        <v>0</v>
      </c>
      <c r="J43" s="9"/>
      <c r="K43" s="1">
        <v>1</v>
      </c>
      <c r="L43" s="1">
        <f>((Fórmulas!C$6/Fórmulas!D$6)/0.8)*K43</f>
        <v>2.1428571428571428</v>
      </c>
      <c r="M43" s="1">
        <f>L43*Fórmulas!D$6</f>
        <v>750</v>
      </c>
    </row>
    <row r="44" spans="2:13" x14ac:dyDescent="0.25">
      <c r="B44" s="26"/>
      <c r="C44" s="26"/>
      <c r="D44" s="26"/>
      <c r="E44" s="9">
        <v>0</v>
      </c>
      <c r="F44" s="9"/>
      <c r="G44" s="1">
        <f>((Fórmulas!C$6/Fórmulas!D$6)/Fórmulas!E$8)*E44</f>
        <v>0</v>
      </c>
      <c r="H44" s="1">
        <f>G44*Fórmulas!B$9</f>
        <v>0</v>
      </c>
      <c r="I44" s="7">
        <f t="shared" si="1"/>
        <v>0</v>
      </c>
      <c r="J44" s="9"/>
      <c r="K44" s="1">
        <v>1</v>
      </c>
      <c r="L44" s="1">
        <f>((Fórmulas!C$6/Fórmulas!D$6)/0.8)*K44</f>
        <v>2.1428571428571428</v>
      </c>
      <c r="M44" s="1">
        <f>L44*Fórmulas!D$6</f>
        <v>750</v>
      </c>
    </row>
    <row r="45" spans="2:13" x14ac:dyDescent="0.25">
      <c r="B45" s="26"/>
      <c r="C45" s="26"/>
      <c r="D45" s="26"/>
      <c r="E45" s="9">
        <v>0</v>
      </c>
      <c r="F45" s="9"/>
      <c r="G45" s="1">
        <f>((Fórmulas!C$6/Fórmulas!D$6)/Fórmulas!E$8)*E45</f>
        <v>0</v>
      </c>
      <c r="H45" s="1">
        <f>G45*Fórmulas!B$9</f>
        <v>0</v>
      </c>
      <c r="I45" s="7">
        <f t="shared" si="1"/>
        <v>0</v>
      </c>
      <c r="J45" s="9"/>
      <c r="K45" s="1">
        <v>1</v>
      </c>
      <c r="L45" s="1">
        <f>((Fórmulas!C$6/Fórmulas!D$6)/0.8)*K45</f>
        <v>2.1428571428571428</v>
      </c>
      <c r="M45" s="1">
        <f>L45*Fórmulas!D$6</f>
        <v>750</v>
      </c>
    </row>
    <row r="46" spans="2:13" x14ac:dyDescent="0.25">
      <c r="B46" s="26"/>
      <c r="C46" s="26"/>
      <c r="D46" s="26"/>
      <c r="E46" s="9">
        <v>0</v>
      </c>
      <c r="F46" s="9"/>
      <c r="G46" s="1">
        <f>((Fórmulas!C$6/Fórmulas!D$6)/Fórmulas!E$8)*E46</f>
        <v>0</v>
      </c>
      <c r="H46" s="1">
        <f>G46*Fórmulas!B$9</f>
        <v>0</v>
      </c>
      <c r="I46" s="7">
        <f t="shared" si="1"/>
        <v>0</v>
      </c>
      <c r="J46" s="9"/>
      <c r="K46" s="1">
        <v>1</v>
      </c>
      <c r="L46" s="1">
        <f>((Fórmulas!C$6/Fórmulas!D$6)/0.8)*K46</f>
        <v>2.1428571428571428</v>
      </c>
      <c r="M46" s="1">
        <f>L46*Fórmulas!D$6</f>
        <v>750</v>
      </c>
    </row>
    <row r="47" spans="2:13" x14ac:dyDescent="0.25">
      <c r="B47" s="26"/>
      <c r="C47" s="26"/>
      <c r="D47" s="26"/>
      <c r="E47" s="9">
        <v>0</v>
      </c>
      <c r="F47" s="9"/>
      <c r="G47" s="1">
        <f>((Fórmulas!C$6/Fórmulas!D$6)/Fórmulas!E$8)*E47</f>
        <v>0</v>
      </c>
      <c r="H47" s="1">
        <f>G47*Fórmulas!B$9</f>
        <v>0</v>
      </c>
      <c r="I47" s="7">
        <f t="shared" si="1"/>
        <v>0</v>
      </c>
      <c r="J47" s="9"/>
      <c r="K47" s="1">
        <v>1</v>
      </c>
      <c r="L47" s="1">
        <f>((Fórmulas!C$6/Fórmulas!D$6)/0.8)*K47</f>
        <v>2.1428571428571428</v>
      </c>
      <c r="M47" s="1">
        <f>L47*Fórmulas!D$6</f>
        <v>750</v>
      </c>
    </row>
    <row r="48" spans="2:13" x14ac:dyDescent="0.25">
      <c r="B48" s="26"/>
      <c r="C48" s="26"/>
      <c r="D48" s="26"/>
      <c r="E48" s="9">
        <v>0</v>
      </c>
      <c r="F48" s="9"/>
      <c r="G48" s="1">
        <f>((Fórmulas!C$6/Fórmulas!D$6)/Fórmulas!E$8)*E48</f>
        <v>0</v>
      </c>
      <c r="H48" s="1">
        <f>G48*Fórmulas!B$9</f>
        <v>0</v>
      </c>
      <c r="I48" s="7">
        <f t="shared" si="1"/>
        <v>0</v>
      </c>
      <c r="J48" s="9"/>
      <c r="K48" s="1">
        <v>1</v>
      </c>
      <c r="L48" s="1">
        <f>((Fórmulas!C$6/Fórmulas!D$6)/0.8)*K48</f>
        <v>2.1428571428571428</v>
      </c>
      <c r="M48" s="1">
        <f>L48*Fórmulas!D$6</f>
        <v>750</v>
      </c>
    </row>
    <row r="49" spans="9:9" x14ac:dyDescent="0.25">
      <c r="I49" s="7">
        <f t="shared" si="1"/>
        <v>0</v>
      </c>
    </row>
  </sheetData>
  <mergeCells count="43">
    <mergeCell ref="B48:D48"/>
    <mergeCell ref="B42:D42"/>
    <mergeCell ref="B43:D43"/>
    <mergeCell ref="B44:D44"/>
    <mergeCell ref="B45:D45"/>
    <mergeCell ref="B46:D46"/>
    <mergeCell ref="B47:D47"/>
    <mergeCell ref="B41:D41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29:D29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17:D17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6"/>
  <sheetViews>
    <sheetView tabSelected="1" topLeftCell="A383" zoomScale="106" zoomScaleNormal="106" workbookViewId="0">
      <selection activeCell="B400" sqref="B400:D400"/>
    </sheetView>
  </sheetViews>
  <sheetFormatPr baseColWidth="10" defaultRowHeight="15" x14ac:dyDescent="0.25"/>
  <cols>
    <col min="1" max="1" width="28.140625" customWidth="1"/>
    <col min="4" max="4" width="47" customWidth="1"/>
    <col min="6" max="6" width="20" bestFit="1" customWidth="1"/>
    <col min="10" max="10" width="15.5703125" bestFit="1" customWidth="1"/>
  </cols>
  <sheetData>
    <row r="1" spans="1:13" x14ac:dyDescent="0.25">
      <c r="A1" s="9"/>
      <c r="B1" s="9"/>
      <c r="C1" s="9"/>
      <c r="D1" s="9"/>
      <c r="E1" s="9"/>
      <c r="F1" s="9"/>
      <c r="G1" s="9"/>
      <c r="H1" s="9"/>
      <c r="I1" s="8"/>
      <c r="J1" s="9"/>
      <c r="K1" s="9"/>
      <c r="L1" s="9"/>
      <c r="M1" s="9"/>
    </row>
    <row r="2" spans="1:13" x14ac:dyDescent="0.25">
      <c r="A2" s="9"/>
      <c r="B2" s="9"/>
      <c r="C2" s="9"/>
      <c r="D2" s="9"/>
      <c r="E2" s="9"/>
      <c r="F2" s="9"/>
      <c r="G2" s="1"/>
      <c r="H2" s="9"/>
      <c r="I2" s="8"/>
      <c r="J2" s="9"/>
      <c r="K2" s="9"/>
      <c r="L2" s="9"/>
      <c r="M2" s="9"/>
    </row>
    <row r="3" spans="1:13" x14ac:dyDescent="0.25">
      <c r="A3" s="9"/>
      <c r="B3" s="9"/>
      <c r="C3" s="9"/>
      <c r="D3" s="9"/>
      <c r="E3" s="9"/>
      <c r="F3" s="9"/>
      <c r="G3" s="9"/>
      <c r="H3" s="9"/>
      <c r="I3" s="8"/>
      <c r="J3" s="9"/>
      <c r="K3" s="9"/>
      <c r="L3" s="9"/>
      <c r="M3" s="9"/>
    </row>
    <row r="4" spans="1:13" x14ac:dyDescent="0.25">
      <c r="A4" s="9"/>
      <c r="B4" s="9"/>
      <c r="C4" s="9"/>
      <c r="D4" s="9"/>
      <c r="E4" s="37" t="s">
        <v>2</v>
      </c>
      <c r="F4" s="37"/>
      <c r="G4" s="37"/>
      <c r="H4" s="37"/>
      <c r="I4" s="37"/>
      <c r="J4" s="9"/>
      <c r="K4" s="34" t="s">
        <v>1</v>
      </c>
      <c r="L4" s="34"/>
      <c r="M4" s="34"/>
    </row>
    <row r="5" spans="1:13" x14ac:dyDescent="0.25">
      <c r="A5" s="9"/>
      <c r="B5" s="35" t="s">
        <v>0</v>
      </c>
      <c r="C5" s="35"/>
      <c r="D5" s="35"/>
      <c r="E5" s="9" t="s">
        <v>3</v>
      </c>
      <c r="F5" s="9" t="s">
        <v>391</v>
      </c>
      <c r="G5" s="9" t="s">
        <v>4</v>
      </c>
      <c r="H5" s="9" t="s">
        <v>5</v>
      </c>
      <c r="I5" s="7" t="s">
        <v>37</v>
      </c>
      <c r="J5" s="9" t="s">
        <v>528</v>
      </c>
      <c r="K5" s="9" t="s">
        <v>3</v>
      </c>
      <c r="L5" s="9" t="s">
        <v>4</v>
      </c>
      <c r="M5" s="9" t="s">
        <v>5</v>
      </c>
    </row>
    <row r="6" spans="1:13" x14ac:dyDescent="0.25">
      <c r="A6" s="9"/>
      <c r="B6" s="36" t="s">
        <v>9</v>
      </c>
      <c r="C6" s="36"/>
      <c r="D6" s="36"/>
      <c r="E6" s="9"/>
      <c r="F6" s="9"/>
      <c r="G6" s="1"/>
      <c r="H6" s="1"/>
      <c r="I6" s="7"/>
      <c r="J6" s="9"/>
      <c r="K6" s="1"/>
      <c r="L6" s="1"/>
      <c r="M6" s="1"/>
    </row>
    <row r="7" spans="1:13" x14ac:dyDescent="0.25">
      <c r="A7" s="9" t="s">
        <v>43</v>
      </c>
      <c r="B7" s="25" t="s">
        <v>44</v>
      </c>
      <c r="C7" s="25"/>
      <c r="D7" s="25"/>
      <c r="E7" s="9">
        <v>3</v>
      </c>
      <c r="F7" s="9"/>
      <c r="G7" s="1">
        <f>((Fórmulas!C$7/Fórmulas!D$7)/Fórmulas!E$7)*E7</f>
        <v>8.5714285714285712</v>
      </c>
      <c r="H7" s="1">
        <f>G7*Fórmulas!B$9</f>
        <v>3000</v>
      </c>
      <c r="I7" s="7">
        <f>E7/Fórmulas!E$7</f>
        <v>5</v>
      </c>
      <c r="J7" s="17">
        <f>G7*Fórmulas!B$10</f>
        <v>5142.8571428571431</v>
      </c>
      <c r="K7" s="1">
        <v>1</v>
      </c>
      <c r="L7" s="1">
        <f>((Fórmulas!C$6/Fórmulas!D$6)/0.7)*K7</f>
        <v>2.4489795918367347</v>
      </c>
      <c r="M7" s="1">
        <f>L7*Fórmulas!D$6</f>
        <v>857.14285714285711</v>
      </c>
    </row>
    <row r="8" spans="1:13" x14ac:dyDescent="0.25">
      <c r="A8" s="9" t="s">
        <v>43</v>
      </c>
      <c r="B8" s="26" t="s">
        <v>45</v>
      </c>
      <c r="C8" s="26"/>
      <c r="D8" s="26"/>
      <c r="E8" s="9">
        <v>3</v>
      </c>
      <c r="F8" s="9"/>
      <c r="G8" s="1">
        <f>((Fórmulas!C$7/Fórmulas!D$7)/Fórmulas!E$7)*E8</f>
        <v>8.5714285714285712</v>
      </c>
      <c r="H8" s="1">
        <f>G8*Fórmulas!B$9</f>
        <v>3000</v>
      </c>
      <c r="I8" s="7">
        <f>E8/Fórmulas!E$7</f>
        <v>5</v>
      </c>
      <c r="J8" s="17">
        <f>G8*Fórmulas!B$10</f>
        <v>5142.8571428571431</v>
      </c>
      <c r="K8" s="1">
        <v>1</v>
      </c>
      <c r="L8" s="1">
        <f>((Fórmulas!C$6/Fórmulas!D$6)/0.7)*K8</f>
        <v>2.4489795918367347</v>
      </c>
      <c r="M8" s="1">
        <f>L8*Fórmulas!D$6</f>
        <v>857.14285714285711</v>
      </c>
    </row>
    <row r="9" spans="1:13" x14ac:dyDescent="0.25">
      <c r="A9" s="9" t="s">
        <v>43</v>
      </c>
      <c r="B9" s="26" t="s">
        <v>46</v>
      </c>
      <c r="C9" s="26"/>
      <c r="D9" s="26"/>
      <c r="E9" s="9">
        <v>3</v>
      </c>
      <c r="F9" s="9"/>
      <c r="G9" s="1">
        <f>((Fórmulas!C$7/Fórmulas!D$7)/Fórmulas!E$7)*E9</f>
        <v>8.5714285714285712</v>
      </c>
      <c r="H9" s="1">
        <f>G9*Fórmulas!B$9</f>
        <v>3000</v>
      </c>
      <c r="I9" s="7">
        <f>E9/Fórmulas!E$7</f>
        <v>5</v>
      </c>
      <c r="J9" s="17">
        <f>G9*Fórmulas!B$10</f>
        <v>5142.8571428571431</v>
      </c>
      <c r="K9" s="1">
        <v>1</v>
      </c>
      <c r="L9" s="1">
        <f>((Fórmulas!C$6/Fórmulas!D$6)/0.7)*K9</f>
        <v>2.4489795918367347</v>
      </c>
      <c r="M9" s="1">
        <f>L9*Fórmulas!D$6</f>
        <v>857.14285714285711</v>
      </c>
    </row>
    <row r="10" spans="1:13" x14ac:dyDescent="0.25">
      <c r="A10" s="9" t="s">
        <v>43</v>
      </c>
      <c r="B10" s="26" t="s">
        <v>47</v>
      </c>
      <c r="C10" s="26"/>
      <c r="D10" s="26"/>
      <c r="E10" s="9">
        <v>3</v>
      </c>
      <c r="F10" s="9"/>
      <c r="G10" s="1">
        <f>((Fórmulas!C$7/Fórmulas!D$7)/Fórmulas!E$7)*E10</f>
        <v>8.5714285714285712</v>
      </c>
      <c r="H10" s="1">
        <f>G10*Fórmulas!B$9</f>
        <v>3000</v>
      </c>
      <c r="I10" s="7">
        <f>E10/Fórmulas!E$7</f>
        <v>5</v>
      </c>
      <c r="J10" s="17">
        <f>G10*Fórmulas!B$10</f>
        <v>5142.8571428571431</v>
      </c>
      <c r="K10" s="1">
        <v>1</v>
      </c>
      <c r="L10" s="1">
        <f>((Fórmulas!C$6/Fórmulas!D$6)/0.7)*K10</f>
        <v>2.4489795918367347</v>
      </c>
      <c r="M10" s="1">
        <f>L10*Fórmulas!D$6</f>
        <v>857.14285714285711</v>
      </c>
    </row>
    <row r="11" spans="1:13" x14ac:dyDescent="0.25">
      <c r="A11" s="9" t="s">
        <v>43</v>
      </c>
      <c r="B11" s="26" t="s">
        <v>48</v>
      </c>
      <c r="C11" s="26"/>
      <c r="D11" s="26"/>
      <c r="E11" s="9">
        <v>3</v>
      </c>
      <c r="F11" s="9"/>
      <c r="G11" s="1">
        <f>((Fórmulas!C$7/Fórmulas!D$7)/Fórmulas!E$7)*E11</f>
        <v>8.5714285714285712</v>
      </c>
      <c r="H11" s="1">
        <f>G11*Fórmulas!B$9</f>
        <v>3000</v>
      </c>
      <c r="I11" s="7">
        <f>E11/Fórmulas!E$7</f>
        <v>5</v>
      </c>
      <c r="J11" s="17">
        <f>G11*Fórmulas!B$10</f>
        <v>5142.8571428571431</v>
      </c>
      <c r="K11" s="1">
        <v>1</v>
      </c>
      <c r="L11" s="1">
        <f>((Fórmulas!C$6/Fórmulas!D$6)/0.7)*K11</f>
        <v>2.4489795918367347</v>
      </c>
      <c r="M11" s="1">
        <f>L11*Fórmulas!D$6</f>
        <v>857.14285714285711</v>
      </c>
    </row>
    <row r="12" spans="1:13" x14ac:dyDescent="0.25">
      <c r="A12" s="9" t="s">
        <v>43</v>
      </c>
      <c r="B12" s="26" t="s">
        <v>49</v>
      </c>
      <c r="C12" s="26"/>
      <c r="D12" s="26"/>
      <c r="E12" s="9">
        <v>3</v>
      </c>
      <c r="F12" s="9"/>
      <c r="G12" s="1">
        <f>((Fórmulas!C$7/Fórmulas!D$7)/Fórmulas!E$7)*E12</f>
        <v>8.5714285714285712</v>
      </c>
      <c r="H12" s="1">
        <f>G12*Fórmulas!B$9</f>
        <v>3000</v>
      </c>
      <c r="I12" s="7">
        <f>E12/Fórmulas!E$7</f>
        <v>5</v>
      </c>
      <c r="J12" s="17">
        <f>G12*Fórmulas!B$10</f>
        <v>5142.8571428571431</v>
      </c>
      <c r="K12" s="1">
        <v>1</v>
      </c>
      <c r="L12" s="1">
        <f>((Fórmulas!C$6/Fórmulas!D$6)/0.7)*K12</f>
        <v>2.4489795918367347</v>
      </c>
      <c r="M12" s="1">
        <f>L12*Fórmulas!D$6</f>
        <v>857.14285714285711</v>
      </c>
    </row>
    <row r="13" spans="1:13" x14ac:dyDescent="0.25">
      <c r="A13" s="9" t="s">
        <v>43</v>
      </c>
      <c r="B13" s="26" t="s">
        <v>50</v>
      </c>
      <c r="C13" s="26"/>
      <c r="D13" s="26"/>
      <c r="E13" s="9">
        <v>3.3</v>
      </c>
      <c r="F13" s="9"/>
      <c r="G13" s="1">
        <f>((Fórmulas!C$7/Fórmulas!D$7)/Fórmulas!E$7)*E13</f>
        <v>9.4285714285714288</v>
      </c>
      <c r="H13" s="1">
        <f>G13*Fórmulas!B$9</f>
        <v>3300</v>
      </c>
      <c r="I13" s="7">
        <f>E13/Fórmulas!E$7</f>
        <v>5.5</v>
      </c>
      <c r="J13" s="17">
        <f>G13*Fórmulas!B$10</f>
        <v>5657.1428571428569</v>
      </c>
      <c r="K13" s="1">
        <v>1</v>
      </c>
      <c r="L13" s="1">
        <f>((Fórmulas!C$6/Fórmulas!D$6)/0.7)*K13</f>
        <v>2.4489795918367347</v>
      </c>
      <c r="M13" s="1">
        <f>L13*Fórmulas!D$6</f>
        <v>857.14285714285711</v>
      </c>
    </row>
    <row r="14" spans="1:13" x14ac:dyDescent="0.25">
      <c r="A14" s="9" t="s">
        <v>43</v>
      </c>
      <c r="B14" s="26" t="s">
        <v>51</v>
      </c>
      <c r="C14" s="26"/>
      <c r="D14" s="26"/>
      <c r="E14" s="9">
        <v>3.3</v>
      </c>
      <c r="F14" s="9"/>
      <c r="G14" s="1">
        <f>((Fórmulas!C$7/Fórmulas!D$7)/Fórmulas!E$7)*E14</f>
        <v>9.4285714285714288</v>
      </c>
      <c r="H14" s="1">
        <f>G14*Fórmulas!B$9</f>
        <v>3300</v>
      </c>
      <c r="I14" s="7">
        <f>E14/Fórmulas!E$7</f>
        <v>5.5</v>
      </c>
      <c r="J14" s="17">
        <f>G14*Fórmulas!B$10</f>
        <v>5657.1428571428569</v>
      </c>
      <c r="K14" s="1">
        <v>1</v>
      </c>
      <c r="L14" s="1">
        <f>((Fórmulas!C$6/Fórmulas!D$6)/0.7)*K14</f>
        <v>2.4489795918367347</v>
      </c>
      <c r="M14" s="1">
        <f>L14*Fórmulas!D$6</f>
        <v>857.14285714285711</v>
      </c>
    </row>
    <row r="15" spans="1:13" x14ac:dyDescent="0.25">
      <c r="A15" s="9" t="s">
        <v>43</v>
      </c>
      <c r="B15" s="26" t="s">
        <v>52</v>
      </c>
      <c r="C15" s="26"/>
      <c r="D15" s="26"/>
      <c r="E15" s="9">
        <v>3.3</v>
      </c>
      <c r="F15" s="9"/>
      <c r="G15" s="1">
        <f>((Fórmulas!C$7/Fórmulas!D$7)/Fórmulas!E$7)*E15</f>
        <v>9.4285714285714288</v>
      </c>
      <c r="H15" s="1">
        <f>G15*Fórmulas!B$9</f>
        <v>3300</v>
      </c>
      <c r="I15" s="7">
        <f>E15/Fórmulas!E$7</f>
        <v>5.5</v>
      </c>
      <c r="J15" s="17">
        <f>G15*Fórmulas!B$10</f>
        <v>5657.1428571428569</v>
      </c>
      <c r="K15" s="1">
        <v>1</v>
      </c>
      <c r="L15" s="1">
        <f>((Fórmulas!C$6/Fórmulas!D$6)/0.7)*K15</f>
        <v>2.4489795918367347</v>
      </c>
      <c r="M15" s="1">
        <f>L15*Fórmulas!D$6</f>
        <v>857.14285714285711</v>
      </c>
    </row>
    <row r="16" spans="1:13" x14ac:dyDescent="0.25">
      <c r="A16" s="9" t="s">
        <v>43</v>
      </c>
      <c r="B16" s="26" t="s">
        <v>53</v>
      </c>
      <c r="C16" s="26"/>
      <c r="D16" s="26"/>
      <c r="E16" s="9">
        <v>3.3</v>
      </c>
      <c r="F16" s="9"/>
      <c r="G16" s="1">
        <f>((Fórmulas!C$7/Fórmulas!D$7)/Fórmulas!E$7)*E16</f>
        <v>9.4285714285714288</v>
      </c>
      <c r="H16" s="1">
        <f>G16*Fórmulas!B$9</f>
        <v>3300</v>
      </c>
      <c r="I16" s="7">
        <f>E16/Fórmulas!E$7</f>
        <v>5.5</v>
      </c>
      <c r="J16" s="17">
        <f>G16*Fórmulas!B$10</f>
        <v>5657.1428571428569</v>
      </c>
      <c r="K16" s="1">
        <v>1</v>
      </c>
      <c r="L16" s="1">
        <f>((Fórmulas!C$6/Fórmulas!D$6)/0.7)*K16</f>
        <v>2.4489795918367347</v>
      </c>
      <c r="M16" s="1">
        <f>L16*Fórmulas!D$6</f>
        <v>857.14285714285711</v>
      </c>
    </row>
    <row r="17" spans="1:13" x14ac:dyDescent="0.25">
      <c r="A17" s="9" t="s">
        <v>43</v>
      </c>
      <c r="B17" s="26" t="s">
        <v>54</v>
      </c>
      <c r="C17" s="26"/>
      <c r="D17" s="26"/>
      <c r="E17" s="9">
        <v>3.3</v>
      </c>
      <c r="F17" s="9"/>
      <c r="G17" s="1">
        <f>((Fórmulas!C$7/Fórmulas!D$7)/Fórmulas!E$7)*E17</f>
        <v>9.4285714285714288</v>
      </c>
      <c r="H17" s="1">
        <f>G17*Fórmulas!B$9</f>
        <v>3300</v>
      </c>
      <c r="I17" s="7">
        <f>E17/Fórmulas!E$7</f>
        <v>5.5</v>
      </c>
      <c r="J17" s="17">
        <f>G17*Fórmulas!B$10</f>
        <v>5657.1428571428569</v>
      </c>
      <c r="K17" s="1">
        <v>1</v>
      </c>
      <c r="L17" s="1">
        <f>((Fórmulas!C$6/Fórmulas!D$6)/0.7)*K17</f>
        <v>2.4489795918367347</v>
      </c>
      <c r="M17" s="1">
        <f>L17*Fórmulas!D$6</f>
        <v>857.14285714285711</v>
      </c>
    </row>
    <row r="18" spans="1:13" x14ac:dyDescent="0.25">
      <c r="A18" s="9" t="s">
        <v>43</v>
      </c>
      <c r="B18" s="25" t="s">
        <v>55</v>
      </c>
      <c r="C18" s="25"/>
      <c r="D18" s="25"/>
      <c r="E18" s="9">
        <v>3</v>
      </c>
      <c r="F18" s="9"/>
      <c r="G18" s="1">
        <f>((Fórmulas!C$7/Fórmulas!D$7)/Fórmulas!E$7)*E18</f>
        <v>8.5714285714285712</v>
      </c>
      <c r="H18" s="1">
        <f>G18*Fórmulas!B$9</f>
        <v>3000</v>
      </c>
      <c r="I18" s="7">
        <f>E18/Fórmulas!E$7</f>
        <v>5</v>
      </c>
      <c r="J18" s="17">
        <f>G18*Fórmulas!B$10</f>
        <v>5142.8571428571431</v>
      </c>
      <c r="K18" s="1">
        <v>1</v>
      </c>
      <c r="L18" s="1">
        <f>((Fórmulas!C$6/Fórmulas!D$6)/0.7)*K18</f>
        <v>2.4489795918367347</v>
      </c>
      <c r="M18" s="1">
        <f>L18*Fórmulas!D$6</f>
        <v>857.14285714285711</v>
      </c>
    </row>
    <row r="19" spans="1:13" x14ac:dyDescent="0.25">
      <c r="A19" s="9" t="s">
        <v>43</v>
      </c>
      <c r="B19" s="26" t="s">
        <v>56</v>
      </c>
      <c r="C19" s="26"/>
      <c r="D19" s="26"/>
      <c r="E19" s="9">
        <v>3</v>
      </c>
      <c r="F19" s="9"/>
      <c r="G19" s="1">
        <f>((Fórmulas!C$7/Fórmulas!D$7)/Fórmulas!E$7)*E19</f>
        <v>8.5714285714285712</v>
      </c>
      <c r="H19" s="1">
        <f>G19*Fórmulas!B$9</f>
        <v>3000</v>
      </c>
      <c r="I19" s="7">
        <f>E19/Fórmulas!E$7</f>
        <v>5</v>
      </c>
      <c r="J19" s="17">
        <f>G19*Fórmulas!B$10</f>
        <v>5142.8571428571431</v>
      </c>
      <c r="K19" s="1">
        <v>1</v>
      </c>
      <c r="L19" s="1">
        <f>((Fórmulas!C$6/Fórmulas!D$6)/0.7)*K19</f>
        <v>2.4489795918367347</v>
      </c>
      <c r="M19" s="1">
        <f>L19*Fórmulas!D$6</f>
        <v>857.14285714285711</v>
      </c>
    </row>
    <row r="20" spans="1:13" x14ac:dyDescent="0.25">
      <c r="A20" s="9" t="s">
        <v>43</v>
      </c>
      <c r="B20" s="26" t="s">
        <v>57</v>
      </c>
      <c r="C20" s="26"/>
      <c r="D20" s="26"/>
      <c r="E20" s="9">
        <v>3</v>
      </c>
      <c r="F20" s="9"/>
      <c r="G20" s="1">
        <f>((Fórmulas!C$7/Fórmulas!D$7)/Fórmulas!E$7)*E20</f>
        <v>8.5714285714285712</v>
      </c>
      <c r="H20" s="1">
        <f>G20*Fórmulas!B$9</f>
        <v>3000</v>
      </c>
      <c r="I20" s="7">
        <f>E20/Fórmulas!E$7</f>
        <v>5</v>
      </c>
      <c r="J20" s="17">
        <f>G20*Fórmulas!B$10</f>
        <v>5142.8571428571431</v>
      </c>
      <c r="K20" s="1">
        <v>1</v>
      </c>
      <c r="L20" s="1">
        <f>((Fórmulas!C$6/Fórmulas!D$6)/0.7)*K20</f>
        <v>2.4489795918367347</v>
      </c>
      <c r="M20" s="1">
        <f>L20*Fórmulas!D$6</f>
        <v>857.14285714285711</v>
      </c>
    </row>
    <row r="21" spans="1:13" x14ac:dyDescent="0.25">
      <c r="A21" s="9" t="s">
        <v>43</v>
      </c>
      <c r="B21" s="26" t="s">
        <v>58</v>
      </c>
      <c r="C21" s="26"/>
      <c r="D21" s="26"/>
      <c r="E21" s="9">
        <v>3</v>
      </c>
      <c r="F21" s="9"/>
      <c r="G21" s="1">
        <f>((Fórmulas!C$7/Fórmulas!D$7)/Fórmulas!E$7)*E21</f>
        <v>8.5714285714285712</v>
      </c>
      <c r="H21" s="1">
        <f>G21*Fórmulas!B$9</f>
        <v>3000</v>
      </c>
      <c r="I21" s="7">
        <f>E21/Fórmulas!E$7</f>
        <v>5</v>
      </c>
      <c r="J21" s="17">
        <f>G21*Fórmulas!B$10</f>
        <v>5142.8571428571431</v>
      </c>
      <c r="K21" s="1">
        <v>1</v>
      </c>
      <c r="L21" s="1">
        <f>((Fórmulas!C$6/Fórmulas!D$6)/0.7)*K21</f>
        <v>2.4489795918367347</v>
      </c>
      <c r="M21" s="1">
        <f>L21*Fórmulas!D$6</f>
        <v>857.14285714285711</v>
      </c>
    </row>
    <row r="22" spans="1:13" x14ac:dyDescent="0.25">
      <c r="A22" s="9" t="s">
        <v>43</v>
      </c>
      <c r="B22" s="26" t="s">
        <v>59</v>
      </c>
      <c r="C22" s="26"/>
      <c r="D22" s="26"/>
      <c r="E22" s="9">
        <v>3</v>
      </c>
      <c r="F22" s="9"/>
      <c r="G22" s="1">
        <f>((Fórmulas!C$7/Fórmulas!D$7)/Fórmulas!E$7)*E22</f>
        <v>8.5714285714285712</v>
      </c>
      <c r="H22" s="1">
        <f>G22*Fórmulas!B$9</f>
        <v>3000</v>
      </c>
      <c r="I22" s="7">
        <f>E22/Fórmulas!E$7</f>
        <v>5</v>
      </c>
      <c r="J22" s="17">
        <f>G22*Fórmulas!B$10</f>
        <v>5142.8571428571431</v>
      </c>
      <c r="K22" s="1">
        <v>1</v>
      </c>
      <c r="L22" s="1">
        <f>((Fórmulas!C$6/Fórmulas!D$6)/0.7)*K22</f>
        <v>2.4489795918367347</v>
      </c>
      <c r="M22" s="1">
        <f>L22*Fórmulas!D$6</f>
        <v>857.14285714285711</v>
      </c>
    </row>
    <row r="23" spans="1:13" x14ac:dyDescent="0.25">
      <c r="A23" s="9" t="s">
        <v>43</v>
      </c>
      <c r="B23" s="26" t="s">
        <v>60</v>
      </c>
      <c r="C23" s="26"/>
      <c r="D23" s="26"/>
      <c r="E23" s="9">
        <v>3</v>
      </c>
      <c r="F23" s="9"/>
      <c r="G23" s="1">
        <f>((Fórmulas!C$7/Fórmulas!D$7)/Fórmulas!E$7)*E23</f>
        <v>8.5714285714285712</v>
      </c>
      <c r="H23" s="1">
        <f>G23*Fórmulas!B$9</f>
        <v>3000</v>
      </c>
      <c r="I23" s="7">
        <f>E23/Fórmulas!E$7</f>
        <v>5</v>
      </c>
      <c r="J23" s="17">
        <f>G23*Fórmulas!B$10</f>
        <v>5142.8571428571431</v>
      </c>
      <c r="K23" s="1">
        <v>1</v>
      </c>
      <c r="L23" s="1">
        <f>((Fórmulas!C$6/Fórmulas!D$6)/0.7)*K23</f>
        <v>2.4489795918367347</v>
      </c>
      <c r="M23" s="1">
        <f>L23*Fórmulas!D$6</f>
        <v>857.14285714285711</v>
      </c>
    </row>
    <row r="24" spans="1:13" x14ac:dyDescent="0.25">
      <c r="A24" s="9" t="s">
        <v>43</v>
      </c>
      <c r="B24" s="26" t="s">
        <v>61</v>
      </c>
      <c r="C24" s="26"/>
      <c r="D24" s="26"/>
      <c r="E24" s="9">
        <v>3.3</v>
      </c>
      <c r="F24" s="9"/>
      <c r="G24" s="1">
        <f>((Fórmulas!C$7/Fórmulas!D$7)/Fórmulas!E$7)*E24</f>
        <v>9.4285714285714288</v>
      </c>
      <c r="H24" s="1">
        <f>G24*Fórmulas!B$9</f>
        <v>3300</v>
      </c>
      <c r="I24" s="7">
        <f>E24/Fórmulas!E$7</f>
        <v>5.5</v>
      </c>
      <c r="J24" s="17">
        <f>G24*Fórmulas!B$10</f>
        <v>5657.1428571428569</v>
      </c>
      <c r="K24" s="1">
        <v>1</v>
      </c>
      <c r="L24" s="1">
        <f>((Fórmulas!C$6/Fórmulas!D$6)/0.7)*K24</f>
        <v>2.4489795918367347</v>
      </c>
      <c r="M24" s="1">
        <f>L24*Fórmulas!D$6</f>
        <v>857.14285714285711</v>
      </c>
    </row>
    <row r="25" spans="1:13" x14ac:dyDescent="0.25">
      <c r="A25" s="9" t="s">
        <v>43</v>
      </c>
      <c r="B25" s="26" t="s">
        <v>62</v>
      </c>
      <c r="C25" s="26"/>
      <c r="D25" s="26"/>
      <c r="E25" s="9">
        <v>3.3</v>
      </c>
      <c r="F25" s="9"/>
      <c r="G25" s="1">
        <f>((Fórmulas!C$7/Fórmulas!D$7)/Fórmulas!E$7)*E25</f>
        <v>9.4285714285714288</v>
      </c>
      <c r="H25" s="1">
        <f>G25*Fórmulas!B$9</f>
        <v>3300</v>
      </c>
      <c r="I25" s="7">
        <f>E25/Fórmulas!E$7</f>
        <v>5.5</v>
      </c>
      <c r="J25" s="17">
        <f>G25*Fórmulas!B$10</f>
        <v>5657.1428571428569</v>
      </c>
      <c r="K25" s="1">
        <v>1</v>
      </c>
      <c r="L25" s="1">
        <f>((Fórmulas!C$6/Fórmulas!D$6)/0.7)*K25</f>
        <v>2.4489795918367347</v>
      </c>
      <c r="M25" s="1">
        <f>L25*Fórmulas!D$6</f>
        <v>857.14285714285711</v>
      </c>
    </row>
    <row r="26" spans="1:13" x14ac:dyDescent="0.25">
      <c r="A26" s="9" t="s">
        <v>43</v>
      </c>
      <c r="B26" s="26" t="s">
        <v>63</v>
      </c>
      <c r="C26" s="26"/>
      <c r="D26" s="26"/>
      <c r="E26" s="9">
        <v>3.3</v>
      </c>
      <c r="F26" s="9"/>
      <c r="G26" s="1">
        <f>((Fórmulas!C$7/Fórmulas!D$7)/Fórmulas!E$7)*E26</f>
        <v>9.4285714285714288</v>
      </c>
      <c r="H26" s="1">
        <f>G26*Fórmulas!B$9</f>
        <v>3300</v>
      </c>
      <c r="I26" s="7">
        <f>E26/Fórmulas!E$7</f>
        <v>5.5</v>
      </c>
      <c r="J26" s="17">
        <f>G26*Fórmulas!B$10</f>
        <v>5657.1428571428569</v>
      </c>
      <c r="K26" s="1">
        <v>1</v>
      </c>
      <c r="L26" s="1">
        <f>((Fórmulas!C$6/Fórmulas!D$6)/0.7)*K26</f>
        <v>2.4489795918367347</v>
      </c>
      <c r="M26" s="1">
        <f>L26*Fórmulas!D$6</f>
        <v>857.14285714285711</v>
      </c>
    </row>
    <row r="27" spans="1:13" x14ac:dyDescent="0.25">
      <c r="A27" s="9" t="s">
        <v>43</v>
      </c>
      <c r="B27" s="26" t="s">
        <v>64</v>
      </c>
      <c r="C27" s="26"/>
      <c r="D27" s="26"/>
      <c r="E27" s="9">
        <v>3.3</v>
      </c>
      <c r="F27" s="9"/>
      <c r="G27" s="1">
        <f>((Fórmulas!C$7/Fórmulas!D$7)/Fórmulas!E$7)*E27</f>
        <v>9.4285714285714288</v>
      </c>
      <c r="H27" s="1">
        <f>G27*Fórmulas!B$9</f>
        <v>3300</v>
      </c>
      <c r="I27" s="7">
        <f>E27/Fórmulas!E$7</f>
        <v>5.5</v>
      </c>
      <c r="J27" s="17">
        <f>G27*Fórmulas!B$10</f>
        <v>5657.1428571428569</v>
      </c>
      <c r="K27" s="1">
        <v>1</v>
      </c>
      <c r="L27" s="1">
        <f>((Fórmulas!C$6/Fórmulas!D$6)/0.7)*K27</f>
        <v>2.4489795918367347</v>
      </c>
      <c r="M27" s="1">
        <f>L27*Fórmulas!D$6</f>
        <v>857.14285714285711</v>
      </c>
    </row>
    <row r="28" spans="1:13" x14ac:dyDescent="0.25">
      <c r="A28" s="9" t="s">
        <v>43</v>
      </c>
      <c r="B28" s="26" t="s">
        <v>65</v>
      </c>
      <c r="C28" s="26"/>
      <c r="D28" s="26"/>
      <c r="E28" s="9">
        <v>3.3</v>
      </c>
      <c r="F28" s="9"/>
      <c r="G28" s="1">
        <f>((Fórmulas!C$7/Fórmulas!D$7)/Fórmulas!E$7)*E28</f>
        <v>9.4285714285714288</v>
      </c>
      <c r="H28" s="1">
        <f>G28*Fórmulas!B$9</f>
        <v>3300</v>
      </c>
      <c r="I28" s="7">
        <f>E28/Fórmulas!E$7</f>
        <v>5.5</v>
      </c>
      <c r="J28" s="17">
        <f>G28*Fórmulas!B$10</f>
        <v>5657.1428571428569</v>
      </c>
      <c r="K28" s="1">
        <v>1</v>
      </c>
      <c r="L28" s="1">
        <f>((Fórmulas!C$6/Fórmulas!D$6)/0.7)*K28</f>
        <v>2.4489795918367347</v>
      </c>
      <c r="M28" s="1">
        <f>L28*Fórmulas!D$6</f>
        <v>857.14285714285711</v>
      </c>
    </row>
    <row r="29" spans="1:13" x14ac:dyDescent="0.25">
      <c r="A29" s="9" t="s">
        <v>43</v>
      </c>
      <c r="B29" s="25" t="s">
        <v>66</v>
      </c>
      <c r="C29" s="25"/>
      <c r="D29" s="25"/>
      <c r="E29" s="9">
        <v>3</v>
      </c>
      <c r="F29" s="9"/>
      <c r="G29" s="1">
        <f>((Fórmulas!C$7/Fórmulas!D$7)/Fórmulas!E$7)*E29</f>
        <v>8.5714285714285712</v>
      </c>
      <c r="H29" s="1">
        <f>G29*Fórmulas!B$9</f>
        <v>3000</v>
      </c>
      <c r="I29" s="7">
        <f>E29/Fórmulas!E$7</f>
        <v>5</v>
      </c>
      <c r="J29" s="17">
        <f>G29*Fórmulas!B$10</f>
        <v>5142.8571428571431</v>
      </c>
      <c r="K29" s="1">
        <v>1</v>
      </c>
      <c r="L29" s="1">
        <f>((Fórmulas!C$6/Fórmulas!D$6)/0.7)*K29</f>
        <v>2.4489795918367347</v>
      </c>
      <c r="M29" s="1">
        <f>L29*Fórmulas!D$6</f>
        <v>857.14285714285711</v>
      </c>
    </row>
    <row r="30" spans="1:13" x14ac:dyDescent="0.25">
      <c r="A30" s="9" t="s">
        <v>43</v>
      </c>
      <c r="B30" s="26" t="s">
        <v>67</v>
      </c>
      <c r="C30" s="26"/>
      <c r="D30" s="26"/>
      <c r="E30" s="9">
        <v>3</v>
      </c>
      <c r="F30" s="9"/>
      <c r="G30" s="1">
        <f>((Fórmulas!C$7/Fórmulas!D$7)/Fórmulas!E$7)*E30</f>
        <v>8.5714285714285712</v>
      </c>
      <c r="H30" s="1">
        <f>G30*Fórmulas!B$9</f>
        <v>3000</v>
      </c>
      <c r="I30" s="7">
        <f>E30/Fórmulas!E$7</f>
        <v>5</v>
      </c>
      <c r="J30" s="17">
        <f>G30*Fórmulas!B$10</f>
        <v>5142.8571428571431</v>
      </c>
      <c r="K30" s="1">
        <v>1</v>
      </c>
      <c r="L30" s="1">
        <f>((Fórmulas!C$6/Fórmulas!D$6)/0.7)*K30</f>
        <v>2.4489795918367347</v>
      </c>
      <c r="M30" s="1">
        <f>L30*Fórmulas!D$6</f>
        <v>857.14285714285711</v>
      </c>
    </row>
    <row r="31" spans="1:13" x14ac:dyDescent="0.25">
      <c r="A31" s="9" t="s">
        <v>43</v>
      </c>
      <c r="B31" s="26" t="s">
        <v>68</v>
      </c>
      <c r="C31" s="26"/>
      <c r="D31" s="26"/>
      <c r="E31" s="9">
        <v>3</v>
      </c>
      <c r="F31" s="9"/>
      <c r="G31" s="1">
        <f>((Fórmulas!C$7/Fórmulas!D$7)/Fórmulas!E$7)*E31</f>
        <v>8.5714285714285712</v>
      </c>
      <c r="H31" s="1">
        <f>G31*Fórmulas!B$9</f>
        <v>3000</v>
      </c>
      <c r="I31" s="7">
        <f>E31/Fórmulas!E$7</f>
        <v>5</v>
      </c>
      <c r="J31" s="17">
        <f>G31*Fórmulas!B$10</f>
        <v>5142.8571428571431</v>
      </c>
      <c r="K31" s="1">
        <v>1</v>
      </c>
      <c r="L31" s="1">
        <f>((Fórmulas!C$6/Fórmulas!D$6)/0.7)*K31</f>
        <v>2.4489795918367347</v>
      </c>
      <c r="M31" s="1">
        <f>L31*Fórmulas!D$6</f>
        <v>857.14285714285711</v>
      </c>
    </row>
    <row r="32" spans="1:13" x14ac:dyDescent="0.25">
      <c r="A32" s="9" t="s">
        <v>43</v>
      </c>
      <c r="B32" s="26" t="s">
        <v>69</v>
      </c>
      <c r="C32" s="26"/>
      <c r="D32" s="26"/>
      <c r="E32" s="9">
        <v>3</v>
      </c>
      <c r="F32" s="9"/>
      <c r="G32" s="1">
        <f>((Fórmulas!C$7/Fórmulas!D$7)/Fórmulas!E$7)*E32</f>
        <v>8.5714285714285712</v>
      </c>
      <c r="H32" s="1">
        <f>G32*Fórmulas!B$9</f>
        <v>3000</v>
      </c>
      <c r="I32" s="7">
        <f>E32/Fórmulas!E$7</f>
        <v>5</v>
      </c>
      <c r="J32" s="17">
        <f>G32*Fórmulas!B$10</f>
        <v>5142.8571428571431</v>
      </c>
      <c r="K32" s="1">
        <v>1</v>
      </c>
      <c r="L32" s="1">
        <f>((Fórmulas!C$6/Fórmulas!D$6)/0.7)*K32</f>
        <v>2.4489795918367347</v>
      </c>
      <c r="M32" s="1">
        <f>L32*Fórmulas!D$6</f>
        <v>857.14285714285711</v>
      </c>
    </row>
    <row r="33" spans="1:13" x14ac:dyDescent="0.25">
      <c r="A33" s="9" t="s">
        <v>43</v>
      </c>
      <c r="B33" s="26" t="s">
        <v>70</v>
      </c>
      <c r="C33" s="26"/>
      <c r="D33" s="26"/>
      <c r="E33" s="9">
        <v>3</v>
      </c>
      <c r="F33" s="9"/>
      <c r="G33" s="1">
        <f>((Fórmulas!C$7/Fórmulas!D$7)/Fórmulas!E$7)*E33</f>
        <v>8.5714285714285712</v>
      </c>
      <c r="H33" s="1">
        <f>G33*Fórmulas!B$9</f>
        <v>3000</v>
      </c>
      <c r="I33" s="7">
        <f>E33/Fórmulas!E$7</f>
        <v>5</v>
      </c>
      <c r="J33" s="17">
        <f>G33*Fórmulas!B$10</f>
        <v>5142.8571428571431</v>
      </c>
      <c r="K33" s="1">
        <v>1</v>
      </c>
      <c r="L33" s="1">
        <f>((Fórmulas!C$6/Fórmulas!D$6)/0.7)*K33</f>
        <v>2.4489795918367347</v>
      </c>
      <c r="M33" s="1">
        <f>L33*Fórmulas!D$6</f>
        <v>857.14285714285711</v>
      </c>
    </row>
    <row r="34" spans="1:13" x14ac:dyDescent="0.25">
      <c r="A34" s="9" t="s">
        <v>43</v>
      </c>
      <c r="B34" s="26" t="s">
        <v>71</v>
      </c>
      <c r="C34" s="26"/>
      <c r="D34" s="26"/>
      <c r="E34" s="9">
        <v>3</v>
      </c>
      <c r="F34" s="9"/>
      <c r="G34" s="1">
        <f>((Fórmulas!C$7/Fórmulas!D$7)/Fórmulas!E$7)*E34</f>
        <v>8.5714285714285712</v>
      </c>
      <c r="H34" s="1">
        <f>G34*Fórmulas!B$9</f>
        <v>3000</v>
      </c>
      <c r="I34" s="7">
        <f>E34/Fórmulas!E$7</f>
        <v>5</v>
      </c>
      <c r="J34" s="17">
        <f>G34*Fórmulas!B$10</f>
        <v>5142.8571428571431</v>
      </c>
      <c r="K34" s="1">
        <v>1</v>
      </c>
      <c r="L34" s="1">
        <f>((Fórmulas!C$6/Fórmulas!D$6)/0.7)*K34</f>
        <v>2.4489795918367347</v>
      </c>
      <c r="M34" s="1">
        <f>L34*Fórmulas!D$6</f>
        <v>857.14285714285711</v>
      </c>
    </row>
    <row r="35" spans="1:13" x14ac:dyDescent="0.25">
      <c r="A35" s="9" t="s">
        <v>43</v>
      </c>
      <c r="B35" s="26" t="s">
        <v>72</v>
      </c>
      <c r="C35" s="26"/>
      <c r="D35" s="26"/>
      <c r="E35" s="9">
        <v>3.3</v>
      </c>
      <c r="F35" s="9"/>
      <c r="G35" s="1">
        <f>((Fórmulas!C$7/Fórmulas!D$7)/Fórmulas!E$7)*E35</f>
        <v>9.4285714285714288</v>
      </c>
      <c r="H35" s="1">
        <f>G35*Fórmulas!B$9</f>
        <v>3300</v>
      </c>
      <c r="I35" s="7">
        <f>E35/Fórmulas!E$7</f>
        <v>5.5</v>
      </c>
      <c r="J35" s="17">
        <f>G35*Fórmulas!B$10</f>
        <v>5657.1428571428569</v>
      </c>
      <c r="K35" s="1">
        <v>1</v>
      </c>
      <c r="L35" s="1">
        <f>((Fórmulas!C$6/Fórmulas!D$6)/0.7)*K35</f>
        <v>2.4489795918367347</v>
      </c>
      <c r="M35" s="1">
        <f>L35*Fórmulas!D$6</f>
        <v>857.14285714285711</v>
      </c>
    </row>
    <row r="36" spans="1:13" x14ac:dyDescent="0.25">
      <c r="A36" s="9" t="s">
        <v>43</v>
      </c>
      <c r="B36" s="26" t="s">
        <v>73</v>
      </c>
      <c r="C36" s="26"/>
      <c r="D36" s="26"/>
      <c r="E36" s="9">
        <v>3.3</v>
      </c>
      <c r="F36" s="9"/>
      <c r="G36" s="1">
        <f>((Fórmulas!C$7/Fórmulas!D$7)/Fórmulas!E$7)*E36</f>
        <v>9.4285714285714288</v>
      </c>
      <c r="H36" s="1">
        <f>G36*Fórmulas!B$9</f>
        <v>3300</v>
      </c>
      <c r="I36" s="7">
        <f>E36/Fórmulas!E$7</f>
        <v>5.5</v>
      </c>
      <c r="J36" s="17">
        <f>G36*Fórmulas!B$10</f>
        <v>5657.1428571428569</v>
      </c>
      <c r="K36" s="1">
        <v>1</v>
      </c>
      <c r="L36" s="1">
        <f>((Fórmulas!C$6/Fórmulas!D$6)/0.7)*K36</f>
        <v>2.4489795918367347</v>
      </c>
      <c r="M36" s="1">
        <f>L36*Fórmulas!D$6</f>
        <v>857.14285714285711</v>
      </c>
    </row>
    <row r="37" spans="1:13" x14ac:dyDescent="0.25">
      <c r="A37" s="9" t="s">
        <v>43</v>
      </c>
      <c r="B37" s="26" t="s">
        <v>74</v>
      </c>
      <c r="C37" s="26"/>
      <c r="D37" s="26"/>
      <c r="E37" s="9">
        <v>3.3</v>
      </c>
      <c r="F37" s="9"/>
      <c r="G37" s="1">
        <f>((Fórmulas!C$7/Fórmulas!D$7)/Fórmulas!E$7)*E37</f>
        <v>9.4285714285714288</v>
      </c>
      <c r="H37" s="1">
        <f>G37*Fórmulas!B$9</f>
        <v>3300</v>
      </c>
      <c r="I37" s="7">
        <f>E37/Fórmulas!E$7</f>
        <v>5.5</v>
      </c>
      <c r="J37" s="17">
        <f>G37*Fórmulas!B$10</f>
        <v>5657.1428571428569</v>
      </c>
      <c r="K37" s="1">
        <v>1</v>
      </c>
      <c r="L37" s="1">
        <f>((Fórmulas!C$6/Fórmulas!D$6)/0.7)*K37</f>
        <v>2.4489795918367347</v>
      </c>
      <c r="M37" s="1">
        <f>L37*Fórmulas!D$6</f>
        <v>857.14285714285711</v>
      </c>
    </row>
    <row r="38" spans="1:13" x14ac:dyDescent="0.25">
      <c r="A38" s="9" t="s">
        <v>43</v>
      </c>
      <c r="B38" s="26" t="s">
        <v>75</v>
      </c>
      <c r="C38" s="26"/>
      <c r="D38" s="26"/>
      <c r="E38" s="9">
        <v>3.3</v>
      </c>
      <c r="F38" s="9"/>
      <c r="G38" s="1">
        <f>((Fórmulas!C$7/Fórmulas!D$7)/Fórmulas!E$7)*E38</f>
        <v>9.4285714285714288</v>
      </c>
      <c r="H38" s="1">
        <f>G38*Fórmulas!B$9</f>
        <v>3300</v>
      </c>
      <c r="I38" s="7">
        <f>E38/Fórmulas!E$7</f>
        <v>5.5</v>
      </c>
      <c r="J38" s="17">
        <f>G38*Fórmulas!B$10</f>
        <v>5657.1428571428569</v>
      </c>
      <c r="K38" s="1">
        <v>1</v>
      </c>
      <c r="L38" s="1">
        <f>((Fórmulas!C$6/Fórmulas!D$6)/0.7)*K38</f>
        <v>2.4489795918367347</v>
      </c>
      <c r="M38" s="1">
        <f>L38*Fórmulas!D$6</f>
        <v>857.14285714285711</v>
      </c>
    </row>
    <row r="39" spans="1:13" x14ac:dyDescent="0.25">
      <c r="A39" s="9" t="s">
        <v>43</v>
      </c>
      <c r="B39" s="26" t="s">
        <v>76</v>
      </c>
      <c r="C39" s="26"/>
      <c r="D39" s="26"/>
      <c r="E39" s="9">
        <v>3.3</v>
      </c>
      <c r="F39" s="9"/>
      <c r="G39" s="1">
        <f>((Fórmulas!C$7/Fórmulas!D$7)/Fórmulas!E$7)*E39</f>
        <v>9.4285714285714288</v>
      </c>
      <c r="H39" s="1">
        <f>G39*Fórmulas!B$9</f>
        <v>3300</v>
      </c>
      <c r="I39" s="7">
        <f>E39/Fórmulas!E$7</f>
        <v>5.5</v>
      </c>
      <c r="J39" s="17">
        <f>G39*Fórmulas!B$10</f>
        <v>5657.1428571428569</v>
      </c>
      <c r="K39" s="1">
        <v>1</v>
      </c>
      <c r="L39" s="1">
        <f>((Fórmulas!C$6/Fórmulas!D$6)/0.7)*K39</f>
        <v>2.4489795918367347</v>
      </c>
      <c r="M39" s="1">
        <f>L39*Fórmulas!D$6</f>
        <v>857.14285714285711</v>
      </c>
    </row>
    <row r="40" spans="1:13" x14ac:dyDescent="0.25">
      <c r="A40" s="9" t="s">
        <v>43</v>
      </c>
      <c r="B40" s="25" t="s">
        <v>77</v>
      </c>
      <c r="C40" s="25"/>
      <c r="D40" s="25"/>
      <c r="E40" s="9">
        <v>3.7</v>
      </c>
      <c r="F40" s="9"/>
      <c r="G40" s="1">
        <f>((Fórmulas!C$7/Fórmulas!D$7)/Fórmulas!E$7)*E40</f>
        <v>10.571428571428573</v>
      </c>
      <c r="H40" s="1">
        <f>G40*Fórmulas!B$9</f>
        <v>3700.0000000000005</v>
      </c>
      <c r="I40" s="7">
        <f>E40/Fórmulas!E$7</f>
        <v>6.166666666666667</v>
      </c>
      <c r="J40" s="17">
        <f>G40*Fórmulas!B$10</f>
        <v>6342.857142857144</v>
      </c>
      <c r="K40" s="1">
        <v>1</v>
      </c>
      <c r="L40" s="1">
        <f>((Fórmulas!C$6/Fórmulas!D$6)/0.7)*K40</f>
        <v>2.4489795918367347</v>
      </c>
      <c r="M40" s="1">
        <f>L40*Fórmulas!D$6</f>
        <v>857.14285714285711</v>
      </c>
    </row>
    <row r="41" spans="1:13" x14ac:dyDescent="0.25">
      <c r="A41" s="9" t="s">
        <v>43</v>
      </c>
      <c r="B41" s="26" t="s">
        <v>78</v>
      </c>
      <c r="C41" s="26"/>
      <c r="D41" s="26"/>
      <c r="E41" s="9">
        <v>3.7</v>
      </c>
      <c r="F41" s="9"/>
      <c r="G41" s="1">
        <f>((Fórmulas!C$7/Fórmulas!D$7)/Fórmulas!E$7)*E41</f>
        <v>10.571428571428573</v>
      </c>
      <c r="H41" s="1">
        <f>G41*Fórmulas!B$9</f>
        <v>3700.0000000000005</v>
      </c>
      <c r="I41" s="7">
        <f>E41/Fórmulas!E$7</f>
        <v>6.166666666666667</v>
      </c>
      <c r="J41" s="17">
        <f>G41*Fórmulas!B$10</f>
        <v>6342.857142857144</v>
      </c>
      <c r="K41" s="1">
        <v>1</v>
      </c>
      <c r="L41" s="1">
        <f>((Fórmulas!C$6/Fórmulas!D$6)/0.7)*K41</f>
        <v>2.4489795918367347</v>
      </c>
      <c r="M41" s="1">
        <f>L41*Fórmulas!D$6</f>
        <v>857.14285714285711</v>
      </c>
    </row>
    <row r="42" spans="1:13" x14ac:dyDescent="0.25">
      <c r="A42" s="9" t="s">
        <v>43</v>
      </c>
      <c r="B42" s="26" t="s">
        <v>79</v>
      </c>
      <c r="C42" s="26"/>
      <c r="D42" s="26"/>
      <c r="E42" s="9">
        <v>3.7</v>
      </c>
      <c r="F42" s="9"/>
      <c r="G42" s="1">
        <f>((Fórmulas!C$7/Fórmulas!D$7)/Fórmulas!E$7)*E42</f>
        <v>10.571428571428573</v>
      </c>
      <c r="H42" s="1">
        <f>G42*Fórmulas!B$9</f>
        <v>3700.0000000000005</v>
      </c>
      <c r="I42" s="7">
        <f>E42/Fórmulas!E$7</f>
        <v>6.166666666666667</v>
      </c>
      <c r="J42" s="17">
        <f>G42*Fórmulas!B$10</f>
        <v>6342.857142857144</v>
      </c>
      <c r="K42" s="1">
        <v>1</v>
      </c>
      <c r="L42" s="1">
        <f>((Fórmulas!C$6/Fórmulas!D$6)/0.7)*K42</f>
        <v>2.4489795918367347</v>
      </c>
      <c r="M42" s="1">
        <f>L42*Fórmulas!D$6</f>
        <v>857.14285714285711</v>
      </c>
    </row>
    <row r="43" spans="1:13" x14ac:dyDescent="0.25">
      <c r="A43" s="9" t="s">
        <v>43</v>
      </c>
      <c r="B43" s="26" t="s">
        <v>80</v>
      </c>
      <c r="C43" s="26"/>
      <c r="D43" s="26"/>
      <c r="E43" s="9">
        <v>3.7</v>
      </c>
      <c r="F43" s="9"/>
      <c r="G43" s="1">
        <f>((Fórmulas!C$7/Fórmulas!D$7)/Fórmulas!E$7)*E43</f>
        <v>10.571428571428573</v>
      </c>
      <c r="H43" s="1">
        <f>G43*Fórmulas!B$9</f>
        <v>3700.0000000000005</v>
      </c>
      <c r="I43" s="7">
        <f>E43/Fórmulas!E$7</f>
        <v>6.166666666666667</v>
      </c>
      <c r="J43" s="17">
        <f>G43*Fórmulas!B$10</f>
        <v>6342.857142857144</v>
      </c>
      <c r="K43" s="1">
        <v>1</v>
      </c>
      <c r="L43" s="1">
        <f>((Fórmulas!C$6/Fórmulas!D$6)/0.7)*K43</f>
        <v>2.4489795918367347</v>
      </c>
      <c r="M43" s="1">
        <f>L43*Fórmulas!D$6</f>
        <v>857.14285714285711</v>
      </c>
    </row>
    <row r="44" spans="1:13" x14ac:dyDescent="0.25">
      <c r="A44" s="9" t="s">
        <v>43</v>
      </c>
      <c r="B44" s="26" t="s">
        <v>81</v>
      </c>
      <c r="C44" s="26"/>
      <c r="D44" s="26"/>
      <c r="E44" s="9">
        <v>3.7</v>
      </c>
      <c r="F44" s="9"/>
      <c r="G44" s="1">
        <f>((Fórmulas!C$7/Fórmulas!D$7)/Fórmulas!E$7)*E44</f>
        <v>10.571428571428573</v>
      </c>
      <c r="H44" s="1">
        <f>G44*Fórmulas!B$9</f>
        <v>3700.0000000000005</v>
      </c>
      <c r="I44" s="7">
        <f>E44/Fórmulas!E$7</f>
        <v>6.166666666666667</v>
      </c>
      <c r="J44" s="17">
        <f>G44*Fórmulas!B$10</f>
        <v>6342.857142857144</v>
      </c>
      <c r="K44" s="1">
        <v>1</v>
      </c>
      <c r="L44" s="1">
        <f>((Fórmulas!C$6/Fórmulas!D$6)/0.7)*K44</f>
        <v>2.4489795918367347</v>
      </c>
      <c r="M44" s="1">
        <f>L44*Fórmulas!D$6</f>
        <v>857.14285714285711</v>
      </c>
    </row>
    <row r="45" spans="1:13" x14ac:dyDescent="0.25">
      <c r="A45" s="9" t="s">
        <v>43</v>
      </c>
      <c r="B45" s="26" t="s">
        <v>82</v>
      </c>
      <c r="C45" s="26"/>
      <c r="D45" s="26"/>
      <c r="E45" s="9">
        <v>3.7</v>
      </c>
      <c r="F45" s="9"/>
      <c r="G45" s="1">
        <f>((Fórmulas!C$7/Fórmulas!D$7)/Fórmulas!E$7)*E45</f>
        <v>10.571428571428573</v>
      </c>
      <c r="H45" s="1">
        <f>G45*Fórmulas!B$9</f>
        <v>3700.0000000000005</v>
      </c>
      <c r="I45" s="7">
        <f>E45/Fórmulas!E$7</f>
        <v>6.166666666666667</v>
      </c>
      <c r="J45" s="17">
        <f>G45*Fórmulas!B$10</f>
        <v>6342.857142857144</v>
      </c>
      <c r="K45" s="1">
        <v>1</v>
      </c>
      <c r="L45" s="1">
        <f>((Fórmulas!C$6/Fórmulas!D$6)/0.7)*K45</f>
        <v>2.4489795918367347</v>
      </c>
      <c r="M45" s="1">
        <f>L45*Fórmulas!D$6</f>
        <v>857.14285714285711</v>
      </c>
    </row>
    <row r="46" spans="1:13" x14ac:dyDescent="0.25">
      <c r="A46" s="9" t="s">
        <v>43</v>
      </c>
      <c r="B46" s="26" t="s">
        <v>83</v>
      </c>
      <c r="C46" s="26"/>
      <c r="D46" s="26"/>
      <c r="E46" s="9">
        <v>4</v>
      </c>
      <c r="F46" s="9"/>
      <c r="G46" s="1">
        <f>((Fórmulas!C$7/Fórmulas!D$7)/Fórmulas!E$7)*E46</f>
        <v>11.428571428571429</v>
      </c>
      <c r="H46" s="1">
        <f>G46*Fórmulas!B$9</f>
        <v>4000</v>
      </c>
      <c r="I46" s="7">
        <f>E46/Fórmulas!E$7</f>
        <v>6.666666666666667</v>
      </c>
      <c r="J46" s="17">
        <f>G46*Fórmulas!B$10</f>
        <v>6857.1428571428569</v>
      </c>
      <c r="K46" s="1">
        <v>1</v>
      </c>
      <c r="L46" s="1">
        <f>((Fórmulas!C$6/Fórmulas!D$6)/0.7)*K46</f>
        <v>2.4489795918367347</v>
      </c>
      <c r="M46" s="1">
        <f>L46*Fórmulas!D$6</f>
        <v>857.14285714285711</v>
      </c>
    </row>
    <row r="47" spans="1:13" x14ac:dyDescent="0.25">
      <c r="A47" s="9" t="s">
        <v>43</v>
      </c>
      <c r="B47" s="26" t="s">
        <v>84</v>
      </c>
      <c r="C47" s="26"/>
      <c r="D47" s="26"/>
      <c r="E47" s="9">
        <v>4</v>
      </c>
      <c r="F47" s="9"/>
      <c r="G47" s="1">
        <f>((Fórmulas!C$7/Fórmulas!D$7)/Fórmulas!E$7)*E47</f>
        <v>11.428571428571429</v>
      </c>
      <c r="H47" s="1">
        <f>G47*Fórmulas!B$9</f>
        <v>4000</v>
      </c>
      <c r="I47" s="7">
        <f>E47/Fórmulas!E$7</f>
        <v>6.666666666666667</v>
      </c>
      <c r="J47" s="17">
        <f>G47*Fórmulas!B$10</f>
        <v>6857.1428571428569</v>
      </c>
      <c r="K47" s="1">
        <v>1</v>
      </c>
      <c r="L47" s="1">
        <f>((Fórmulas!C$6/Fórmulas!D$6)/0.7)*K47</f>
        <v>2.4489795918367347</v>
      </c>
      <c r="M47" s="1">
        <f>L47*Fórmulas!D$6</f>
        <v>857.14285714285711</v>
      </c>
    </row>
    <row r="48" spans="1:13" x14ac:dyDescent="0.25">
      <c r="A48" s="9" t="s">
        <v>43</v>
      </c>
      <c r="B48" s="26" t="s">
        <v>85</v>
      </c>
      <c r="C48" s="26"/>
      <c r="D48" s="26"/>
      <c r="E48" s="9">
        <v>4</v>
      </c>
      <c r="F48" s="9"/>
      <c r="G48" s="1">
        <f>((Fórmulas!C$7/Fórmulas!D$7)/Fórmulas!E$7)*E48</f>
        <v>11.428571428571429</v>
      </c>
      <c r="H48" s="1">
        <f>G48*Fórmulas!B$9</f>
        <v>4000</v>
      </c>
      <c r="I48" s="7">
        <f>E48/Fórmulas!E$7</f>
        <v>6.666666666666667</v>
      </c>
      <c r="J48" s="17">
        <f>G48*Fórmulas!B$10</f>
        <v>6857.1428571428569</v>
      </c>
      <c r="K48" s="1">
        <v>1</v>
      </c>
      <c r="L48" s="1">
        <f>((Fórmulas!C$6/Fórmulas!D$6)/0.7)*K48</f>
        <v>2.4489795918367347</v>
      </c>
      <c r="M48" s="1">
        <f>L48*Fórmulas!D$6</f>
        <v>857.14285714285711</v>
      </c>
    </row>
    <row r="49" spans="1:13" x14ac:dyDescent="0.25">
      <c r="A49" s="9" t="s">
        <v>43</v>
      </c>
      <c r="B49" s="26" t="s">
        <v>86</v>
      </c>
      <c r="C49" s="26"/>
      <c r="D49" s="26"/>
      <c r="E49" s="9">
        <v>4</v>
      </c>
      <c r="F49" s="9"/>
      <c r="G49" s="1">
        <f>((Fórmulas!C$7/Fórmulas!D$7)/Fórmulas!E$7)*E49</f>
        <v>11.428571428571429</v>
      </c>
      <c r="H49" s="1">
        <f>G49*Fórmulas!B$9</f>
        <v>4000</v>
      </c>
      <c r="I49" s="7">
        <f>E49/Fórmulas!E$7</f>
        <v>6.666666666666667</v>
      </c>
      <c r="J49" s="17">
        <f>G49*Fórmulas!B$10</f>
        <v>6857.1428571428569</v>
      </c>
      <c r="K49" s="1">
        <v>1</v>
      </c>
      <c r="L49" s="1">
        <f>((Fórmulas!C$6/Fórmulas!D$6)/0.7)*K49</f>
        <v>2.4489795918367347</v>
      </c>
      <c r="M49" s="1">
        <f>L49*Fórmulas!D$6</f>
        <v>857.14285714285711</v>
      </c>
    </row>
    <row r="50" spans="1:13" x14ac:dyDescent="0.25">
      <c r="A50" s="9" t="s">
        <v>43</v>
      </c>
      <c r="B50" s="26" t="s">
        <v>87</v>
      </c>
      <c r="C50" s="26"/>
      <c r="D50" s="26"/>
      <c r="E50" s="9">
        <v>4</v>
      </c>
      <c r="F50" s="9"/>
      <c r="G50" s="1">
        <f>((Fórmulas!C$7/Fórmulas!D$7)/Fórmulas!E$7)*E50</f>
        <v>11.428571428571429</v>
      </c>
      <c r="H50" s="1">
        <f>G50*Fórmulas!B$9</f>
        <v>4000</v>
      </c>
      <c r="I50" s="7">
        <f>E50/Fórmulas!E$7</f>
        <v>6.666666666666667</v>
      </c>
      <c r="J50" s="17">
        <f>G50*Fórmulas!B$10</f>
        <v>6857.1428571428569</v>
      </c>
      <c r="K50" s="1">
        <v>1</v>
      </c>
      <c r="L50" s="1">
        <f>((Fórmulas!C$6/Fórmulas!D$6)/0.7)*K50</f>
        <v>2.4489795918367347</v>
      </c>
      <c r="M50" s="1">
        <f>L50*Fórmulas!D$6</f>
        <v>857.14285714285711</v>
      </c>
    </row>
    <row r="51" spans="1:13" x14ac:dyDescent="0.25">
      <c r="A51" s="9" t="s">
        <v>43</v>
      </c>
      <c r="B51" s="25" t="s">
        <v>88</v>
      </c>
      <c r="C51" s="25"/>
      <c r="D51" s="25"/>
      <c r="E51" s="9">
        <v>3.7</v>
      </c>
      <c r="F51" s="9"/>
      <c r="G51" s="1">
        <f>((Fórmulas!C$7/Fórmulas!D$7)/Fórmulas!E$7)*E51</f>
        <v>10.571428571428573</v>
      </c>
      <c r="H51" s="1">
        <f>G51*Fórmulas!B$9</f>
        <v>3700.0000000000005</v>
      </c>
      <c r="I51" s="7">
        <f>E51/Fórmulas!E$7</f>
        <v>6.166666666666667</v>
      </c>
      <c r="J51" s="17">
        <f>G51*Fórmulas!B$10</f>
        <v>6342.857142857144</v>
      </c>
      <c r="K51" s="1">
        <v>1</v>
      </c>
      <c r="L51" s="1">
        <f>((Fórmulas!C$6/Fórmulas!D$6)/0.7)*K51</f>
        <v>2.4489795918367347</v>
      </c>
      <c r="M51" s="1">
        <f>L51*Fórmulas!D$6</f>
        <v>857.14285714285711</v>
      </c>
    </row>
    <row r="52" spans="1:13" x14ac:dyDescent="0.25">
      <c r="A52" s="9" t="s">
        <v>43</v>
      </c>
      <c r="B52" s="26" t="s">
        <v>89</v>
      </c>
      <c r="C52" s="26"/>
      <c r="D52" s="26"/>
      <c r="E52" s="9">
        <v>3.7</v>
      </c>
      <c r="F52" s="9"/>
      <c r="G52" s="1">
        <f>((Fórmulas!C$7/Fórmulas!D$7)/Fórmulas!E$7)*E52</f>
        <v>10.571428571428573</v>
      </c>
      <c r="H52" s="1">
        <f>G52*Fórmulas!B$9</f>
        <v>3700.0000000000005</v>
      </c>
      <c r="I52" s="7">
        <f>E52/Fórmulas!E$7</f>
        <v>6.166666666666667</v>
      </c>
      <c r="J52" s="17">
        <f>G52*Fórmulas!B$10</f>
        <v>6342.857142857144</v>
      </c>
      <c r="K52" s="1">
        <v>1</v>
      </c>
      <c r="L52" s="1">
        <f>((Fórmulas!C$6/Fórmulas!D$6)/0.7)*K52</f>
        <v>2.4489795918367347</v>
      </c>
      <c r="M52" s="1">
        <f>L52*Fórmulas!D$6</f>
        <v>857.14285714285711</v>
      </c>
    </row>
    <row r="53" spans="1:13" x14ac:dyDescent="0.25">
      <c r="A53" s="9" t="s">
        <v>43</v>
      </c>
      <c r="B53" s="26" t="s">
        <v>90</v>
      </c>
      <c r="C53" s="26"/>
      <c r="D53" s="26"/>
      <c r="E53" s="9">
        <v>3.7</v>
      </c>
      <c r="F53" s="9"/>
      <c r="G53" s="1">
        <f>((Fórmulas!C$7/Fórmulas!D$7)/Fórmulas!E$7)*E53</f>
        <v>10.571428571428573</v>
      </c>
      <c r="H53" s="1">
        <f>G53*Fórmulas!B$9</f>
        <v>3700.0000000000005</v>
      </c>
      <c r="I53" s="7">
        <f>E53/Fórmulas!E$7</f>
        <v>6.166666666666667</v>
      </c>
      <c r="J53" s="17">
        <f>G53*Fórmulas!B$10</f>
        <v>6342.857142857144</v>
      </c>
      <c r="K53" s="1">
        <v>1</v>
      </c>
      <c r="L53" s="1">
        <f>((Fórmulas!C$6/Fórmulas!D$6)/0.7)*K53</f>
        <v>2.4489795918367347</v>
      </c>
      <c r="M53" s="1">
        <f>L53*Fórmulas!D$6</f>
        <v>857.14285714285711</v>
      </c>
    </row>
    <row r="54" spans="1:13" x14ac:dyDescent="0.25">
      <c r="A54" s="9" t="s">
        <v>43</v>
      </c>
      <c r="B54" s="26" t="s">
        <v>91</v>
      </c>
      <c r="C54" s="26"/>
      <c r="D54" s="26"/>
      <c r="E54" s="9">
        <v>3.7</v>
      </c>
      <c r="F54" s="9"/>
      <c r="G54" s="1">
        <f>((Fórmulas!C$7/Fórmulas!D$7)/Fórmulas!E$7)*E54</f>
        <v>10.571428571428573</v>
      </c>
      <c r="H54" s="1">
        <f>G54*Fórmulas!B$9</f>
        <v>3700.0000000000005</v>
      </c>
      <c r="I54" s="7">
        <f>E54/Fórmulas!E$7</f>
        <v>6.166666666666667</v>
      </c>
      <c r="J54" s="17">
        <f>G54*Fórmulas!B$10</f>
        <v>6342.857142857144</v>
      </c>
      <c r="K54" s="1">
        <v>1</v>
      </c>
      <c r="L54" s="1">
        <f>((Fórmulas!C$6/Fórmulas!D$6)/0.7)*K54</f>
        <v>2.4489795918367347</v>
      </c>
      <c r="M54" s="1">
        <f>L54*Fórmulas!D$6</f>
        <v>857.14285714285711</v>
      </c>
    </row>
    <row r="55" spans="1:13" x14ac:dyDescent="0.25">
      <c r="A55" s="9" t="s">
        <v>43</v>
      </c>
      <c r="B55" s="26" t="s">
        <v>92</v>
      </c>
      <c r="C55" s="26"/>
      <c r="D55" s="26"/>
      <c r="E55" s="9">
        <v>3.7</v>
      </c>
      <c r="F55" s="9"/>
      <c r="G55" s="1">
        <f>((Fórmulas!C$7/Fórmulas!D$7)/Fórmulas!E$7)*E55</f>
        <v>10.571428571428573</v>
      </c>
      <c r="H55" s="1">
        <f>G55*Fórmulas!B$9</f>
        <v>3700.0000000000005</v>
      </c>
      <c r="I55" s="7">
        <f>E55/Fórmulas!E$7</f>
        <v>6.166666666666667</v>
      </c>
      <c r="J55" s="17">
        <f>G55*Fórmulas!B$10</f>
        <v>6342.857142857144</v>
      </c>
      <c r="K55" s="1">
        <v>1</v>
      </c>
      <c r="L55" s="1">
        <f>((Fórmulas!C$6/Fórmulas!D$6)/0.7)*K55</f>
        <v>2.4489795918367347</v>
      </c>
      <c r="M55" s="1">
        <f>L55*Fórmulas!D$6</f>
        <v>857.14285714285711</v>
      </c>
    </row>
    <row r="56" spans="1:13" x14ac:dyDescent="0.25">
      <c r="A56" s="9" t="s">
        <v>43</v>
      </c>
      <c r="B56" s="26" t="s">
        <v>93</v>
      </c>
      <c r="C56" s="26"/>
      <c r="D56" s="26"/>
      <c r="E56" s="9">
        <v>3.7</v>
      </c>
      <c r="F56" s="9"/>
      <c r="G56" s="1">
        <f>((Fórmulas!C$7/Fórmulas!D$7)/Fórmulas!E$7)*E56</f>
        <v>10.571428571428573</v>
      </c>
      <c r="H56" s="1">
        <f>G56*Fórmulas!B$9</f>
        <v>3700.0000000000005</v>
      </c>
      <c r="I56" s="7">
        <f>E56/Fórmulas!E$7</f>
        <v>6.166666666666667</v>
      </c>
      <c r="J56" s="17">
        <f>G56*Fórmulas!B$10</f>
        <v>6342.857142857144</v>
      </c>
      <c r="K56" s="1">
        <v>1</v>
      </c>
      <c r="L56" s="1">
        <f>((Fórmulas!C$6/Fórmulas!D$6)/0.7)*K56</f>
        <v>2.4489795918367347</v>
      </c>
      <c r="M56" s="1">
        <f>L56*Fórmulas!D$6</f>
        <v>857.14285714285711</v>
      </c>
    </row>
    <row r="57" spans="1:13" x14ac:dyDescent="0.25">
      <c r="A57" s="9" t="s">
        <v>43</v>
      </c>
      <c r="B57" s="26" t="s">
        <v>94</v>
      </c>
      <c r="C57" s="26"/>
      <c r="D57" s="26"/>
      <c r="E57" s="9">
        <v>4</v>
      </c>
      <c r="F57" s="9"/>
      <c r="G57" s="1">
        <f>((Fórmulas!C$7/Fórmulas!D$7)/Fórmulas!E$7)*E57</f>
        <v>11.428571428571429</v>
      </c>
      <c r="H57" s="1">
        <f>G57*Fórmulas!B$9</f>
        <v>4000</v>
      </c>
      <c r="I57" s="7">
        <f>E57/Fórmulas!E$7</f>
        <v>6.666666666666667</v>
      </c>
      <c r="J57" s="17">
        <f>G57*Fórmulas!B$10</f>
        <v>6857.1428571428569</v>
      </c>
      <c r="K57" s="1">
        <v>1</v>
      </c>
      <c r="L57" s="1">
        <f>((Fórmulas!C$6/Fórmulas!D$6)/0.7)*K57</f>
        <v>2.4489795918367347</v>
      </c>
      <c r="M57" s="1">
        <f>L57*Fórmulas!D$6</f>
        <v>857.14285714285711</v>
      </c>
    </row>
    <row r="58" spans="1:13" x14ac:dyDescent="0.25">
      <c r="A58" s="9" t="s">
        <v>43</v>
      </c>
      <c r="B58" s="26" t="s">
        <v>95</v>
      </c>
      <c r="C58" s="26"/>
      <c r="D58" s="26"/>
      <c r="E58" s="9">
        <v>4</v>
      </c>
      <c r="F58" s="9"/>
      <c r="G58" s="1">
        <f>((Fórmulas!C$7/Fórmulas!D$7)/Fórmulas!E$7)*E58</f>
        <v>11.428571428571429</v>
      </c>
      <c r="H58" s="1">
        <f>G58*Fórmulas!B$9</f>
        <v>4000</v>
      </c>
      <c r="I58" s="7">
        <f>E58/Fórmulas!E$7</f>
        <v>6.666666666666667</v>
      </c>
      <c r="J58" s="17">
        <f>G58*Fórmulas!B$10</f>
        <v>6857.1428571428569</v>
      </c>
      <c r="K58" s="1">
        <v>1</v>
      </c>
      <c r="L58" s="1">
        <f>((Fórmulas!C$6/Fórmulas!D$6)/0.7)*K58</f>
        <v>2.4489795918367347</v>
      </c>
      <c r="M58" s="1">
        <f>L58*Fórmulas!D$6</f>
        <v>857.14285714285711</v>
      </c>
    </row>
    <row r="59" spans="1:13" x14ac:dyDescent="0.25">
      <c r="A59" s="9" t="s">
        <v>43</v>
      </c>
      <c r="B59" s="26" t="s">
        <v>96</v>
      </c>
      <c r="C59" s="26"/>
      <c r="D59" s="26"/>
      <c r="E59" s="9">
        <v>4</v>
      </c>
      <c r="F59" s="9"/>
      <c r="G59" s="1">
        <f>((Fórmulas!C$7/Fórmulas!D$7)/Fórmulas!E$7)*E59</f>
        <v>11.428571428571429</v>
      </c>
      <c r="H59" s="1">
        <f>G59*Fórmulas!B$9</f>
        <v>4000</v>
      </c>
      <c r="I59" s="7">
        <f>E59/Fórmulas!E$7</f>
        <v>6.666666666666667</v>
      </c>
      <c r="J59" s="17">
        <f>G59*Fórmulas!B$10</f>
        <v>6857.1428571428569</v>
      </c>
      <c r="K59" s="1">
        <v>1</v>
      </c>
      <c r="L59" s="1">
        <f>((Fórmulas!C$6/Fórmulas!D$6)/0.7)*K59</f>
        <v>2.4489795918367347</v>
      </c>
      <c r="M59" s="1">
        <f>L59*Fórmulas!D$6</f>
        <v>857.14285714285711</v>
      </c>
    </row>
    <row r="60" spans="1:13" x14ac:dyDescent="0.25">
      <c r="A60" s="9" t="s">
        <v>43</v>
      </c>
      <c r="B60" s="26" t="s">
        <v>97</v>
      </c>
      <c r="C60" s="26"/>
      <c r="D60" s="26"/>
      <c r="E60" s="9">
        <v>4</v>
      </c>
      <c r="F60" s="9"/>
      <c r="G60" s="1">
        <f>((Fórmulas!C$7/Fórmulas!D$7)/Fórmulas!E$7)*E60</f>
        <v>11.428571428571429</v>
      </c>
      <c r="H60" s="1">
        <f>G60*Fórmulas!B$9</f>
        <v>4000</v>
      </c>
      <c r="I60" s="7">
        <f>E60/Fórmulas!E$7</f>
        <v>6.666666666666667</v>
      </c>
      <c r="J60" s="17">
        <f>G60*Fórmulas!B$10</f>
        <v>6857.1428571428569</v>
      </c>
      <c r="K60" s="1">
        <v>1</v>
      </c>
      <c r="L60" s="1">
        <f>((Fórmulas!C$6/Fórmulas!D$6)/0.7)*K60</f>
        <v>2.4489795918367347</v>
      </c>
      <c r="M60" s="1">
        <f>L60*Fórmulas!D$6</f>
        <v>857.14285714285711</v>
      </c>
    </row>
    <row r="61" spans="1:13" x14ac:dyDescent="0.25">
      <c r="A61" s="9" t="s">
        <v>43</v>
      </c>
      <c r="B61" s="26" t="s">
        <v>98</v>
      </c>
      <c r="C61" s="26"/>
      <c r="D61" s="26"/>
      <c r="E61" s="9">
        <v>4</v>
      </c>
      <c r="F61" s="9"/>
      <c r="G61" s="1">
        <f>((Fórmulas!C$7/Fórmulas!D$7)/Fórmulas!E$7)*E61</f>
        <v>11.428571428571429</v>
      </c>
      <c r="H61" s="1">
        <f>G61*Fórmulas!B$9</f>
        <v>4000</v>
      </c>
      <c r="I61" s="7">
        <f>E61/Fórmulas!E$7</f>
        <v>6.666666666666667</v>
      </c>
      <c r="J61" s="17">
        <f>G61*Fórmulas!B$10</f>
        <v>6857.1428571428569</v>
      </c>
      <c r="K61" s="1">
        <v>1</v>
      </c>
      <c r="L61" s="1">
        <f>((Fórmulas!C$6/Fórmulas!D$6)/0.7)*K61</f>
        <v>2.4489795918367347</v>
      </c>
      <c r="M61" s="1">
        <f>L61*Fórmulas!D$6</f>
        <v>857.14285714285711</v>
      </c>
    </row>
    <row r="62" spans="1:13" x14ac:dyDescent="0.25">
      <c r="A62" s="9" t="s">
        <v>43</v>
      </c>
      <c r="B62" s="25" t="s">
        <v>99</v>
      </c>
      <c r="C62" s="25"/>
      <c r="D62" s="25"/>
      <c r="E62" s="9">
        <v>3.7</v>
      </c>
      <c r="F62" s="9"/>
      <c r="G62" s="1">
        <f>((Fórmulas!C$7/Fórmulas!D$7)/Fórmulas!E$7)*E62</f>
        <v>10.571428571428573</v>
      </c>
      <c r="H62" s="1">
        <f>G62*Fórmulas!B$9</f>
        <v>3700.0000000000005</v>
      </c>
      <c r="I62" s="7">
        <f>E62/Fórmulas!E$7</f>
        <v>6.166666666666667</v>
      </c>
      <c r="J62" s="17">
        <f>G62*Fórmulas!B$10</f>
        <v>6342.857142857144</v>
      </c>
      <c r="K62" s="1">
        <v>1</v>
      </c>
      <c r="L62" s="1">
        <f>((Fórmulas!C$6/Fórmulas!D$6)/0.7)*K62</f>
        <v>2.4489795918367347</v>
      </c>
      <c r="M62" s="1">
        <f>L62*Fórmulas!D$6</f>
        <v>857.14285714285711</v>
      </c>
    </row>
    <row r="63" spans="1:13" x14ac:dyDescent="0.25">
      <c r="A63" s="9" t="s">
        <v>43</v>
      </c>
      <c r="B63" s="26" t="s">
        <v>100</v>
      </c>
      <c r="C63" s="26"/>
      <c r="D63" s="26"/>
      <c r="E63" s="9">
        <v>3.7</v>
      </c>
      <c r="F63" s="9"/>
      <c r="G63" s="1">
        <f>((Fórmulas!C$7/Fórmulas!D$7)/Fórmulas!E$7)*E63</f>
        <v>10.571428571428573</v>
      </c>
      <c r="H63" s="1">
        <f>G63*Fórmulas!B$9</f>
        <v>3700.0000000000005</v>
      </c>
      <c r="I63" s="7">
        <f>E63/Fórmulas!E$7</f>
        <v>6.166666666666667</v>
      </c>
      <c r="J63" s="17">
        <f>G63*Fórmulas!B$10</f>
        <v>6342.857142857144</v>
      </c>
      <c r="K63" s="1">
        <v>1</v>
      </c>
      <c r="L63" s="1">
        <f>((Fórmulas!C$6/Fórmulas!D$6)/0.7)*K63</f>
        <v>2.4489795918367347</v>
      </c>
      <c r="M63" s="1">
        <f>L63*Fórmulas!D$6</f>
        <v>857.14285714285711</v>
      </c>
    </row>
    <row r="64" spans="1:13" x14ac:dyDescent="0.25">
      <c r="A64" s="9" t="s">
        <v>43</v>
      </c>
      <c r="B64" s="26" t="s">
        <v>101</v>
      </c>
      <c r="C64" s="26"/>
      <c r="D64" s="26"/>
      <c r="E64" s="9">
        <v>3.7</v>
      </c>
      <c r="F64" s="9"/>
      <c r="G64" s="1">
        <f>((Fórmulas!C$7/Fórmulas!D$7)/Fórmulas!E$7)*E64</f>
        <v>10.571428571428573</v>
      </c>
      <c r="H64" s="1">
        <f>G64*Fórmulas!B$9</f>
        <v>3700.0000000000005</v>
      </c>
      <c r="I64" s="7">
        <f>E64/Fórmulas!E$7</f>
        <v>6.166666666666667</v>
      </c>
      <c r="J64" s="17">
        <f>G64*Fórmulas!B$10</f>
        <v>6342.857142857144</v>
      </c>
      <c r="K64" s="1">
        <v>1</v>
      </c>
      <c r="L64" s="1">
        <f>((Fórmulas!C$6/Fórmulas!D$6)/0.7)*K64</f>
        <v>2.4489795918367347</v>
      </c>
      <c r="M64" s="1">
        <f>L64*Fórmulas!D$6</f>
        <v>857.14285714285711</v>
      </c>
    </row>
    <row r="65" spans="1:13" x14ac:dyDescent="0.25">
      <c r="A65" s="9" t="s">
        <v>43</v>
      </c>
      <c r="B65" s="26" t="s">
        <v>102</v>
      </c>
      <c r="C65" s="26"/>
      <c r="D65" s="26"/>
      <c r="E65" s="9">
        <v>3.7</v>
      </c>
      <c r="F65" s="9"/>
      <c r="G65" s="1">
        <f>((Fórmulas!C$7/Fórmulas!D$7)/Fórmulas!E$7)*E65</f>
        <v>10.571428571428573</v>
      </c>
      <c r="H65" s="1">
        <f>G65*Fórmulas!B$9</f>
        <v>3700.0000000000005</v>
      </c>
      <c r="I65" s="7">
        <f>E65/Fórmulas!E$7</f>
        <v>6.166666666666667</v>
      </c>
      <c r="J65" s="17">
        <f>G65*Fórmulas!B$10</f>
        <v>6342.857142857144</v>
      </c>
      <c r="K65" s="1">
        <v>1</v>
      </c>
      <c r="L65" s="1">
        <f>((Fórmulas!C$6/Fórmulas!D$6)/0.7)*K65</f>
        <v>2.4489795918367347</v>
      </c>
      <c r="M65" s="1">
        <f>L65*Fórmulas!D$6</f>
        <v>857.14285714285711</v>
      </c>
    </row>
    <row r="66" spans="1:13" x14ac:dyDescent="0.25">
      <c r="A66" s="9" t="s">
        <v>43</v>
      </c>
      <c r="B66" s="26" t="s">
        <v>103</v>
      </c>
      <c r="C66" s="26"/>
      <c r="D66" s="26"/>
      <c r="E66" s="9">
        <v>3.7</v>
      </c>
      <c r="F66" s="9"/>
      <c r="G66" s="1">
        <f>((Fórmulas!C$7/Fórmulas!D$7)/Fórmulas!E$7)*E66</f>
        <v>10.571428571428573</v>
      </c>
      <c r="H66" s="1">
        <f>G66*Fórmulas!B$9</f>
        <v>3700.0000000000005</v>
      </c>
      <c r="I66" s="7">
        <f>E66/Fórmulas!E$7</f>
        <v>6.166666666666667</v>
      </c>
      <c r="J66" s="17">
        <f>G66*Fórmulas!B$10</f>
        <v>6342.857142857144</v>
      </c>
      <c r="K66" s="1">
        <v>1</v>
      </c>
      <c r="L66" s="1">
        <f>((Fórmulas!C$6/Fórmulas!D$6)/0.7)*K66</f>
        <v>2.4489795918367347</v>
      </c>
      <c r="M66" s="1">
        <f>L66*Fórmulas!D$6</f>
        <v>857.14285714285711</v>
      </c>
    </row>
    <row r="67" spans="1:13" x14ac:dyDescent="0.25">
      <c r="A67" s="9" t="s">
        <v>43</v>
      </c>
      <c r="B67" s="26" t="s">
        <v>104</v>
      </c>
      <c r="C67" s="26"/>
      <c r="D67" s="26"/>
      <c r="E67" s="9">
        <v>3.7</v>
      </c>
      <c r="F67" s="9"/>
      <c r="G67" s="1">
        <f>((Fórmulas!C$7/Fórmulas!D$7)/Fórmulas!E$7)*E67</f>
        <v>10.571428571428573</v>
      </c>
      <c r="H67" s="1">
        <f>G67*Fórmulas!B$9</f>
        <v>3700.0000000000005</v>
      </c>
      <c r="I67" s="7">
        <f>E67/Fórmulas!E$7</f>
        <v>6.166666666666667</v>
      </c>
      <c r="J67" s="17">
        <f>G67*Fórmulas!B$10</f>
        <v>6342.857142857144</v>
      </c>
      <c r="K67" s="1">
        <v>1</v>
      </c>
      <c r="L67" s="1">
        <f>((Fórmulas!C$6/Fórmulas!D$6)/0.7)*K67</f>
        <v>2.4489795918367347</v>
      </c>
      <c r="M67" s="1">
        <f>L67*Fórmulas!D$6</f>
        <v>857.14285714285711</v>
      </c>
    </row>
    <row r="68" spans="1:13" x14ac:dyDescent="0.25">
      <c r="A68" s="9" t="s">
        <v>43</v>
      </c>
      <c r="B68" s="26" t="s">
        <v>105</v>
      </c>
      <c r="C68" s="26"/>
      <c r="D68" s="26"/>
      <c r="E68" s="9">
        <v>4</v>
      </c>
      <c r="F68" s="9"/>
      <c r="G68" s="1">
        <f>((Fórmulas!C$7/Fórmulas!D$7)/Fórmulas!E$7)*E68</f>
        <v>11.428571428571429</v>
      </c>
      <c r="H68" s="1">
        <f>G68*Fórmulas!B$9</f>
        <v>4000</v>
      </c>
      <c r="I68" s="7">
        <f>E68/Fórmulas!E$7</f>
        <v>6.666666666666667</v>
      </c>
      <c r="J68" s="17">
        <f>G68*Fórmulas!B$10</f>
        <v>6857.1428571428569</v>
      </c>
      <c r="K68" s="1">
        <v>1</v>
      </c>
      <c r="L68" s="1">
        <f>((Fórmulas!C$6/Fórmulas!D$6)/0.7)*K68</f>
        <v>2.4489795918367347</v>
      </c>
      <c r="M68" s="1">
        <f>L68*Fórmulas!D$6</f>
        <v>857.14285714285711</v>
      </c>
    </row>
    <row r="69" spans="1:13" x14ac:dyDescent="0.25">
      <c r="A69" s="9" t="s">
        <v>43</v>
      </c>
      <c r="B69" s="26" t="s">
        <v>106</v>
      </c>
      <c r="C69" s="26"/>
      <c r="D69" s="26"/>
      <c r="E69" s="9">
        <v>4</v>
      </c>
      <c r="F69" s="9"/>
      <c r="G69" s="1">
        <f>((Fórmulas!C$7/Fórmulas!D$7)/Fórmulas!E$7)*E69</f>
        <v>11.428571428571429</v>
      </c>
      <c r="H69" s="1">
        <f>G69*Fórmulas!B$9</f>
        <v>4000</v>
      </c>
      <c r="I69" s="7">
        <f>E69/Fórmulas!E$7</f>
        <v>6.666666666666667</v>
      </c>
      <c r="J69" s="17">
        <f>G69*Fórmulas!B$10</f>
        <v>6857.1428571428569</v>
      </c>
      <c r="K69" s="1">
        <v>1</v>
      </c>
      <c r="L69" s="1">
        <f>((Fórmulas!C$6/Fórmulas!D$6)/0.7)*K69</f>
        <v>2.4489795918367347</v>
      </c>
      <c r="M69" s="1">
        <f>L69*Fórmulas!D$6</f>
        <v>857.14285714285711</v>
      </c>
    </row>
    <row r="70" spans="1:13" x14ac:dyDescent="0.25">
      <c r="A70" s="9" t="s">
        <v>43</v>
      </c>
      <c r="B70" s="26" t="s">
        <v>107</v>
      </c>
      <c r="C70" s="26"/>
      <c r="D70" s="26"/>
      <c r="E70" s="9">
        <v>4</v>
      </c>
      <c r="F70" s="9"/>
      <c r="G70" s="1">
        <f>((Fórmulas!C$7/Fórmulas!D$7)/Fórmulas!E$7)*E70</f>
        <v>11.428571428571429</v>
      </c>
      <c r="H70" s="1">
        <f>G70*Fórmulas!B$9</f>
        <v>4000</v>
      </c>
      <c r="I70" s="7">
        <f>E70/Fórmulas!E$7</f>
        <v>6.666666666666667</v>
      </c>
      <c r="J70" s="17">
        <f>G70*Fórmulas!B$10</f>
        <v>6857.1428571428569</v>
      </c>
      <c r="K70" s="1">
        <v>1</v>
      </c>
      <c r="L70" s="1">
        <f>((Fórmulas!C$6/Fórmulas!D$6)/0.7)*K70</f>
        <v>2.4489795918367347</v>
      </c>
      <c r="M70" s="1">
        <f>L70*Fórmulas!D$6</f>
        <v>857.14285714285711</v>
      </c>
    </row>
    <row r="71" spans="1:13" x14ac:dyDescent="0.25">
      <c r="A71" s="9" t="s">
        <v>43</v>
      </c>
      <c r="B71" s="26" t="s">
        <v>108</v>
      </c>
      <c r="C71" s="26"/>
      <c r="D71" s="26"/>
      <c r="E71" s="9">
        <v>4</v>
      </c>
      <c r="F71" s="9"/>
      <c r="G71" s="1">
        <f>((Fórmulas!C$7/Fórmulas!D$7)/Fórmulas!E$7)*E71</f>
        <v>11.428571428571429</v>
      </c>
      <c r="H71" s="1">
        <f>G71*Fórmulas!B$9</f>
        <v>4000</v>
      </c>
      <c r="I71" s="7">
        <f>E71/Fórmulas!E$7</f>
        <v>6.666666666666667</v>
      </c>
      <c r="J71" s="17">
        <f>G71*Fórmulas!B$10</f>
        <v>6857.1428571428569</v>
      </c>
      <c r="K71" s="1">
        <v>1</v>
      </c>
      <c r="L71" s="1">
        <f>((Fórmulas!C$6/Fórmulas!D$6)/0.7)*K71</f>
        <v>2.4489795918367347</v>
      </c>
      <c r="M71" s="1">
        <f>L71*Fórmulas!D$6</f>
        <v>857.14285714285711</v>
      </c>
    </row>
    <row r="72" spans="1:13" x14ac:dyDescent="0.25">
      <c r="A72" s="9" t="s">
        <v>43</v>
      </c>
      <c r="B72" s="26" t="s">
        <v>109</v>
      </c>
      <c r="C72" s="26"/>
      <c r="D72" s="26"/>
      <c r="E72" s="9">
        <v>4</v>
      </c>
      <c r="F72" s="9"/>
      <c r="G72" s="1">
        <f>((Fórmulas!C$7/Fórmulas!D$7)/Fórmulas!E$7)*E72</f>
        <v>11.428571428571429</v>
      </c>
      <c r="H72" s="1">
        <f>G72*Fórmulas!B$9</f>
        <v>4000</v>
      </c>
      <c r="I72" s="7">
        <f>E72/Fórmulas!E$7</f>
        <v>6.666666666666667</v>
      </c>
      <c r="J72" s="17">
        <f>G72*Fórmulas!B$10</f>
        <v>6857.1428571428569</v>
      </c>
      <c r="K72" s="1">
        <v>1</v>
      </c>
      <c r="L72" s="1">
        <f>((Fórmulas!C$6/Fórmulas!D$6)/0.7)*K72</f>
        <v>2.4489795918367347</v>
      </c>
      <c r="M72" s="1">
        <f>L72*Fórmulas!D$6</f>
        <v>857.14285714285711</v>
      </c>
    </row>
    <row r="73" spans="1:13" x14ac:dyDescent="0.25">
      <c r="A73" s="9" t="s">
        <v>43</v>
      </c>
      <c r="B73" s="25" t="s">
        <v>110</v>
      </c>
      <c r="C73" s="25"/>
      <c r="D73" s="25"/>
      <c r="E73" s="9">
        <v>3.7</v>
      </c>
      <c r="F73" s="9"/>
      <c r="G73" s="1">
        <f>((Fórmulas!C$7/Fórmulas!D$7)/Fórmulas!E$7)*E73</f>
        <v>10.571428571428573</v>
      </c>
      <c r="H73" s="1">
        <f>G73*Fórmulas!B$9</f>
        <v>3700.0000000000005</v>
      </c>
      <c r="I73" s="7">
        <f>E73/Fórmulas!E$7</f>
        <v>6.166666666666667</v>
      </c>
      <c r="J73" s="17">
        <f>G73*Fórmulas!B$10</f>
        <v>6342.857142857144</v>
      </c>
      <c r="K73" s="1">
        <v>1</v>
      </c>
      <c r="L73" s="1">
        <f>((Fórmulas!C$6/Fórmulas!D$6)/0.7)*K73</f>
        <v>2.4489795918367347</v>
      </c>
      <c r="M73" s="1">
        <f>L73*Fórmulas!D$6</f>
        <v>857.14285714285711</v>
      </c>
    </row>
    <row r="74" spans="1:13" x14ac:dyDescent="0.25">
      <c r="A74" s="9" t="s">
        <v>43</v>
      </c>
      <c r="B74" s="26" t="s">
        <v>111</v>
      </c>
      <c r="C74" s="26"/>
      <c r="D74" s="26"/>
      <c r="E74" s="9">
        <v>3.7</v>
      </c>
      <c r="F74" s="9"/>
      <c r="G74" s="1">
        <f>((Fórmulas!C$7/Fórmulas!D$7)/Fórmulas!E$7)*E74</f>
        <v>10.571428571428573</v>
      </c>
      <c r="H74" s="1">
        <f>G74*Fórmulas!B$9</f>
        <v>3700.0000000000005</v>
      </c>
      <c r="I74" s="7">
        <f>E74/Fórmulas!E$7</f>
        <v>6.166666666666667</v>
      </c>
      <c r="J74" s="17">
        <f>G74*Fórmulas!B$10</f>
        <v>6342.857142857144</v>
      </c>
      <c r="K74" s="1">
        <v>1</v>
      </c>
      <c r="L74" s="1">
        <f>((Fórmulas!C$6/Fórmulas!D$6)/0.7)*K74</f>
        <v>2.4489795918367347</v>
      </c>
      <c r="M74" s="1">
        <f>L74*Fórmulas!D$6</f>
        <v>857.14285714285711</v>
      </c>
    </row>
    <row r="75" spans="1:13" x14ac:dyDescent="0.25">
      <c r="A75" s="9" t="s">
        <v>43</v>
      </c>
      <c r="B75" s="26" t="s">
        <v>112</v>
      </c>
      <c r="C75" s="26"/>
      <c r="D75" s="26"/>
      <c r="E75" s="9">
        <v>3.7</v>
      </c>
      <c r="F75" s="9"/>
      <c r="G75" s="1">
        <f>((Fórmulas!C$7/Fórmulas!D$7)/Fórmulas!E$7)*E75</f>
        <v>10.571428571428573</v>
      </c>
      <c r="H75" s="1">
        <f>G75*Fórmulas!B$9</f>
        <v>3700.0000000000005</v>
      </c>
      <c r="I75" s="7">
        <f>E75/Fórmulas!E$7</f>
        <v>6.166666666666667</v>
      </c>
      <c r="J75" s="17">
        <f>G75*Fórmulas!B$10</f>
        <v>6342.857142857144</v>
      </c>
      <c r="K75" s="1">
        <v>1</v>
      </c>
      <c r="L75" s="1">
        <f>((Fórmulas!C$6/Fórmulas!D$6)/0.7)*K75</f>
        <v>2.4489795918367347</v>
      </c>
      <c r="M75" s="1">
        <f>L75*Fórmulas!D$6</f>
        <v>857.14285714285711</v>
      </c>
    </row>
    <row r="76" spans="1:13" x14ac:dyDescent="0.25">
      <c r="A76" s="9" t="s">
        <v>43</v>
      </c>
      <c r="B76" s="26" t="s">
        <v>113</v>
      </c>
      <c r="C76" s="26"/>
      <c r="D76" s="26"/>
      <c r="E76" s="9">
        <v>3.7</v>
      </c>
      <c r="F76" s="9"/>
      <c r="G76" s="1">
        <f>((Fórmulas!C$7/Fórmulas!D$7)/Fórmulas!E$7)*E76</f>
        <v>10.571428571428573</v>
      </c>
      <c r="H76" s="1">
        <f>G76*Fórmulas!B$9</f>
        <v>3700.0000000000005</v>
      </c>
      <c r="I76" s="7">
        <f>E76/Fórmulas!E$7</f>
        <v>6.166666666666667</v>
      </c>
      <c r="J76" s="17">
        <f>G76*Fórmulas!B$10</f>
        <v>6342.857142857144</v>
      </c>
      <c r="K76" s="1">
        <v>1</v>
      </c>
      <c r="L76" s="1">
        <f>((Fórmulas!C$6/Fórmulas!D$6)/0.7)*K76</f>
        <v>2.4489795918367347</v>
      </c>
      <c r="M76" s="1">
        <f>L76*Fórmulas!D$6</f>
        <v>857.14285714285711</v>
      </c>
    </row>
    <row r="77" spans="1:13" x14ac:dyDescent="0.25">
      <c r="A77" s="9" t="s">
        <v>43</v>
      </c>
      <c r="B77" s="26" t="s">
        <v>114</v>
      </c>
      <c r="C77" s="26"/>
      <c r="D77" s="26"/>
      <c r="E77" s="9">
        <v>3.7</v>
      </c>
      <c r="F77" s="9"/>
      <c r="G77" s="1">
        <f>((Fórmulas!C$7/Fórmulas!D$7)/Fórmulas!E$7)*E77</f>
        <v>10.571428571428573</v>
      </c>
      <c r="H77" s="1">
        <f>G77*Fórmulas!B$9</f>
        <v>3700.0000000000005</v>
      </c>
      <c r="I77" s="7">
        <f>E77/Fórmulas!E$7</f>
        <v>6.166666666666667</v>
      </c>
      <c r="J77" s="17">
        <f>G77*Fórmulas!B$10</f>
        <v>6342.857142857144</v>
      </c>
      <c r="K77" s="1">
        <v>1</v>
      </c>
      <c r="L77" s="1">
        <f>((Fórmulas!C$6/Fórmulas!D$6)/0.7)*K77</f>
        <v>2.4489795918367347</v>
      </c>
      <c r="M77" s="1">
        <f>L77*Fórmulas!D$6</f>
        <v>857.14285714285711</v>
      </c>
    </row>
    <row r="78" spans="1:13" x14ac:dyDescent="0.25">
      <c r="A78" s="9" t="s">
        <v>43</v>
      </c>
      <c r="B78" s="26" t="s">
        <v>115</v>
      </c>
      <c r="C78" s="26"/>
      <c r="D78" s="26"/>
      <c r="E78" s="9">
        <v>3.7</v>
      </c>
      <c r="F78" s="9"/>
      <c r="G78" s="1">
        <f>((Fórmulas!C$7/Fórmulas!D$7)/Fórmulas!E$7)*E78</f>
        <v>10.571428571428573</v>
      </c>
      <c r="H78" s="1">
        <f>G78*Fórmulas!B$9</f>
        <v>3700.0000000000005</v>
      </c>
      <c r="I78" s="7">
        <f>E78/Fórmulas!E$7</f>
        <v>6.166666666666667</v>
      </c>
      <c r="J78" s="17">
        <f>G78*Fórmulas!B$10</f>
        <v>6342.857142857144</v>
      </c>
      <c r="K78" s="1">
        <v>1</v>
      </c>
      <c r="L78" s="1">
        <f>((Fórmulas!C$6/Fórmulas!D$6)/0.7)*K78</f>
        <v>2.4489795918367347</v>
      </c>
      <c r="M78" s="1">
        <f>L78*Fórmulas!D$6</f>
        <v>857.14285714285711</v>
      </c>
    </row>
    <row r="79" spans="1:13" x14ac:dyDescent="0.25">
      <c r="A79" s="9" t="s">
        <v>43</v>
      </c>
      <c r="B79" s="26" t="s">
        <v>116</v>
      </c>
      <c r="C79" s="26"/>
      <c r="D79" s="26"/>
      <c r="E79" s="9">
        <v>4</v>
      </c>
      <c r="F79" s="9"/>
      <c r="G79" s="1">
        <f>((Fórmulas!C$7/Fórmulas!D$7)/Fórmulas!E$7)*E79</f>
        <v>11.428571428571429</v>
      </c>
      <c r="H79" s="1">
        <f>G79*Fórmulas!B$9</f>
        <v>4000</v>
      </c>
      <c r="I79" s="7">
        <f>E79/Fórmulas!E$7</f>
        <v>6.666666666666667</v>
      </c>
      <c r="J79" s="17">
        <f>G79*Fórmulas!B$10</f>
        <v>6857.1428571428569</v>
      </c>
      <c r="K79" s="1">
        <v>1</v>
      </c>
      <c r="L79" s="1">
        <f>((Fórmulas!C$6/Fórmulas!D$6)/0.7)*K79</f>
        <v>2.4489795918367347</v>
      </c>
      <c r="M79" s="1">
        <f>L79*Fórmulas!D$6</f>
        <v>857.14285714285711</v>
      </c>
    </row>
    <row r="80" spans="1:13" x14ac:dyDescent="0.25">
      <c r="A80" s="9" t="s">
        <v>43</v>
      </c>
      <c r="B80" s="26" t="s">
        <v>117</v>
      </c>
      <c r="C80" s="26"/>
      <c r="D80" s="26"/>
      <c r="E80" s="9">
        <v>4</v>
      </c>
      <c r="F80" s="9"/>
      <c r="G80" s="1">
        <f>((Fórmulas!C$7/Fórmulas!D$7)/Fórmulas!E$7)*E80</f>
        <v>11.428571428571429</v>
      </c>
      <c r="H80" s="1">
        <f>G80*Fórmulas!B$9</f>
        <v>4000</v>
      </c>
      <c r="I80" s="7">
        <f>E80/Fórmulas!E$7</f>
        <v>6.666666666666667</v>
      </c>
      <c r="J80" s="17">
        <f>G80*Fórmulas!B$10</f>
        <v>6857.1428571428569</v>
      </c>
      <c r="K80" s="1">
        <v>1</v>
      </c>
      <c r="L80" s="1">
        <f>((Fórmulas!C$6/Fórmulas!D$6)/0.7)*K80</f>
        <v>2.4489795918367347</v>
      </c>
      <c r="M80" s="1">
        <f>L80*Fórmulas!D$6</f>
        <v>857.14285714285711</v>
      </c>
    </row>
    <row r="81" spans="1:13" x14ac:dyDescent="0.25">
      <c r="A81" s="9" t="s">
        <v>43</v>
      </c>
      <c r="B81" s="26" t="s">
        <v>118</v>
      </c>
      <c r="C81" s="26"/>
      <c r="D81" s="26"/>
      <c r="E81" s="9">
        <v>4</v>
      </c>
      <c r="F81" s="9"/>
      <c r="G81" s="1">
        <f>((Fórmulas!C$7/Fórmulas!D$7)/Fórmulas!E$7)*E81</f>
        <v>11.428571428571429</v>
      </c>
      <c r="H81" s="1">
        <f>G81*Fórmulas!B$9</f>
        <v>4000</v>
      </c>
      <c r="I81" s="7">
        <f>E81/Fórmulas!E$7</f>
        <v>6.666666666666667</v>
      </c>
      <c r="J81" s="17">
        <f>G81*Fórmulas!B$10</f>
        <v>6857.1428571428569</v>
      </c>
      <c r="K81" s="1">
        <v>1</v>
      </c>
      <c r="L81" s="1">
        <f>((Fórmulas!C$6/Fórmulas!D$6)/0.7)*K81</f>
        <v>2.4489795918367347</v>
      </c>
      <c r="M81" s="1">
        <f>L81*Fórmulas!D$6</f>
        <v>857.14285714285711</v>
      </c>
    </row>
    <row r="82" spans="1:13" x14ac:dyDescent="0.25">
      <c r="A82" s="9" t="s">
        <v>43</v>
      </c>
      <c r="B82" s="26" t="s">
        <v>119</v>
      </c>
      <c r="C82" s="26"/>
      <c r="D82" s="26"/>
      <c r="E82" s="9">
        <v>4</v>
      </c>
      <c r="F82" s="9"/>
      <c r="G82" s="1">
        <f>((Fórmulas!C$7/Fórmulas!D$7)/Fórmulas!E$7)*E82</f>
        <v>11.428571428571429</v>
      </c>
      <c r="H82" s="1">
        <f>G82*Fórmulas!B$9</f>
        <v>4000</v>
      </c>
      <c r="I82" s="7">
        <f>E82/Fórmulas!E$7</f>
        <v>6.666666666666667</v>
      </c>
      <c r="J82" s="17">
        <f>G82*Fórmulas!B$10</f>
        <v>6857.1428571428569</v>
      </c>
      <c r="K82" s="1">
        <v>1</v>
      </c>
      <c r="L82" s="1">
        <f>((Fórmulas!C$6/Fórmulas!D$6)/0.7)*K82</f>
        <v>2.4489795918367347</v>
      </c>
      <c r="M82" s="1">
        <f>L82*Fórmulas!D$6</f>
        <v>857.14285714285711</v>
      </c>
    </row>
    <row r="83" spans="1:13" x14ac:dyDescent="0.25">
      <c r="A83" s="9" t="s">
        <v>43</v>
      </c>
      <c r="B83" s="26" t="s">
        <v>120</v>
      </c>
      <c r="C83" s="26"/>
      <c r="D83" s="26"/>
      <c r="E83" s="9">
        <v>4</v>
      </c>
      <c r="F83" s="9"/>
      <c r="G83" s="1">
        <f>((Fórmulas!C$7/Fórmulas!D$7)/Fórmulas!E$7)*E83</f>
        <v>11.428571428571429</v>
      </c>
      <c r="H83" s="1">
        <f>G83*Fórmulas!B$9</f>
        <v>4000</v>
      </c>
      <c r="I83" s="7">
        <f>E83/Fórmulas!E$7</f>
        <v>6.666666666666667</v>
      </c>
      <c r="J83" s="17">
        <f>G83*Fórmulas!B$10</f>
        <v>6857.1428571428569</v>
      </c>
      <c r="K83" s="1">
        <v>1</v>
      </c>
      <c r="L83" s="1">
        <f>((Fórmulas!C$6/Fórmulas!D$6)/0.7)*K83</f>
        <v>2.4489795918367347</v>
      </c>
      <c r="M83" s="1">
        <f>L83*Fórmulas!D$6</f>
        <v>857.14285714285711</v>
      </c>
    </row>
    <row r="84" spans="1:13" x14ac:dyDescent="0.25">
      <c r="A84" s="9" t="s">
        <v>43</v>
      </c>
      <c r="B84" s="25" t="s">
        <v>121</v>
      </c>
      <c r="C84" s="25"/>
      <c r="D84" s="25"/>
      <c r="E84" s="9">
        <v>3.7</v>
      </c>
      <c r="F84" s="9"/>
      <c r="G84" s="1">
        <f>((Fórmulas!C$7/Fórmulas!D$7)/Fórmulas!E$7)*E84</f>
        <v>10.571428571428573</v>
      </c>
      <c r="H84" s="1">
        <f>G84*Fórmulas!B$9</f>
        <v>3700.0000000000005</v>
      </c>
      <c r="I84" s="7">
        <f>E84/Fórmulas!E$7</f>
        <v>6.166666666666667</v>
      </c>
      <c r="J84" s="17">
        <f>G84*Fórmulas!B$10</f>
        <v>6342.857142857144</v>
      </c>
      <c r="K84" s="1">
        <v>1</v>
      </c>
      <c r="L84" s="1">
        <f>((Fórmulas!C$6/Fórmulas!D$6)/0.7)*K84</f>
        <v>2.4489795918367347</v>
      </c>
      <c r="M84" s="1">
        <f>L84*Fórmulas!D$6</f>
        <v>857.14285714285711</v>
      </c>
    </row>
    <row r="85" spans="1:13" x14ac:dyDescent="0.25">
      <c r="A85" s="9" t="s">
        <v>43</v>
      </c>
      <c r="B85" s="26" t="s">
        <v>122</v>
      </c>
      <c r="C85" s="26"/>
      <c r="D85" s="26"/>
      <c r="E85" s="9">
        <v>3.7</v>
      </c>
      <c r="F85" s="9"/>
      <c r="G85" s="1">
        <f>((Fórmulas!C$7/Fórmulas!D$7)/Fórmulas!E$7)*E85</f>
        <v>10.571428571428573</v>
      </c>
      <c r="H85" s="1">
        <f>G85*Fórmulas!B$9</f>
        <v>3700.0000000000005</v>
      </c>
      <c r="I85" s="7">
        <f>E85/Fórmulas!E$7</f>
        <v>6.166666666666667</v>
      </c>
      <c r="J85" s="17">
        <f>G85*Fórmulas!B$10</f>
        <v>6342.857142857144</v>
      </c>
      <c r="K85" s="1">
        <v>1</v>
      </c>
      <c r="L85" s="1">
        <f>((Fórmulas!C$6/Fórmulas!D$6)/0.7)*K85</f>
        <v>2.4489795918367347</v>
      </c>
      <c r="M85" s="1">
        <f>L85*Fórmulas!D$6</f>
        <v>857.14285714285711</v>
      </c>
    </row>
    <row r="86" spans="1:13" x14ac:dyDescent="0.25">
      <c r="A86" s="9" t="s">
        <v>43</v>
      </c>
      <c r="B86" s="26" t="s">
        <v>123</v>
      </c>
      <c r="C86" s="26"/>
      <c r="D86" s="26"/>
      <c r="E86" s="9">
        <v>3.7</v>
      </c>
      <c r="F86" s="9"/>
      <c r="G86" s="1">
        <f>((Fórmulas!C$7/Fórmulas!D$7)/Fórmulas!E$7)*E86</f>
        <v>10.571428571428573</v>
      </c>
      <c r="H86" s="1">
        <f>G86*Fórmulas!B$9</f>
        <v>3700.0000000000005</v>
      </c>
      <c r="I86" s="7">
        <f>E86/Fórmulas!E$7</f>
        <v>6.166666666666667</v>
      </c>
      <c r="J86" s="17">
        <f>G86*Fórmulas!B$10</f>
        <v>6342.857142857144</v>
      </c>
      <c r="K86" s="1">
        <v>1</v>
      </c>
      <c r="L86" s="1">
        <f>((Fórmulas!C$6/Fórmulas!D$6)/0.7)*K86</f>
        <v>2.4489795918367347</v>
      </c>
      <c r="M86" s="1">
        <f>L86*Fórmulas!D$6</f>
        <v>857.14285714285711</v>
      </c>
    </row>
    <row r="87" spans="1:13" x14ac:dyDescent="0.25">
      <c r="A87" s="9" t="s">
        <v>43</v>
      </c>
      <c r="B87" s="26" t="s">
        <v>124</v>
      </c>
      <c r="C87" s="26"/>
      <c r="D87" s="26"/>
      <c r="E87" s="9">
        <v>3.7</v>
      </c>
      <c r="F87" s="9"/>
      <c r="G87" s="1">
        <f>((Fórmulas!C$7/Fórmulas!D$7)/Fórmulas!E$7)*E87</f>
        <v>10.571428571428573</v>
      </c>
      <c r="H87" s="1">
        <f>G87*Fórmulas!B$9</f>
        <v>3700.0000000000005</v>
      </c>
      <c r="I87" s="7">
        <f>E87/Fórmulas!E$7</f>
        <v>6.166666666666667</v>
      </c>
      <c r="J87" s="17">
        <f>G87*Fórmulas!B$10</f>
        <v>6342.857142857144</v>
      </c>
      <c r="K87" s="1">
        <v>1</v>
      </c>
      <c r="L87" s="1">
        <f>((Fórmulas!C$6/Fórmulas!D$6)/0.7)*K87</f>
        <v>2.4489795918367347</v>
      </c>
      <c r="M87" s="1">
        <f>L87*Fórmulas!D$6</f>
        <v>857.14285714285711</v>
      </c>
    </row>
    <row r="88" spans="1:13" x14ac:dyDescent="0.25">
      <c r="A88" s="9" t="s">
        <v>43</v>
      </c>
      <c r="B88" s="26" t="s">
        <v>125</v>
      </c>
      <c r="C88" s="26"/>
      <c r="D88" s="26"/>
      <c r="E88" s="9">
        <v>3.7</v>
      </c>
      <c r="F88" s="9"/>
      <c r="G88" s="1">
        <f>((Fórmulas!C$7/Fórmulas!D$7)/Fórmulas!E$7)*E88</f>
        <v>10.571428571428573</v>
      </c>
      <c r="H88" s="1">
        <f>G88*Fórmulas!B$9</f>
        <v>3700.0000000000005</v>
      </c>
      <c r="I88" s="7">
        <f>E88/Fórmulas!E$7</f>
        <v>6.166666666666667</v>
      </c>
      <c r="J88" s="17">
        <f>G88*Fórmulas!B$10</f>
        <v>6342.857142857144</v>
      </c>
      <c r="K88" s="1">
        <v>1</v>
      </c>
      <c r="L88" s="1">
        <f>((Fórmulas!C$6/Fórmulas!D$6)/0.7)*K88</f>
        <v>2.4489795918367347</v>
      </c>
      <c r="M88" s="1">
        <f>L88*Fórmulas!D$6</f>
        <v>857.14285714285711</v>
      </c>
    </row>
    <row r="89" spans="1:13" x14ac:dyDescent="0.25">
      <c r="A89" s="9" t="s">
        <v>43</v>
      </c>
      <c r="B89" s="26" t="s">
        <v>126</v>
      </c>
      <c r="C89" s="26"/>
      <c r="D89" s="26"/>
      <c r="E89" s="9">
        <v>3.7</v>
      </c>
      <c r="F89" s="9"/>
      <c r="G89" s="1">
        <f>((Fórmulas!C$7/Fórmulas!D$7)/Fórmulas!E$7)*E89</f>
        <v>10.571428571428573</v>
      </c>
      <c r="H89" s="1">
        <f>G89*Fórmulas!B$9</f>
        <v>3700.0000000000005</v>
      </c>
      <c r="I89" s="7">
        <f>E89/Fórmulas!E$7</f>
        <v>6.166666666666667</v>
      </c>
      <c r="J89" s="17">
        <f>G89*Fórmulas!B$10</f>
        <v>6342.857142857144</v>
      </c>
      <c r="K89" s="1">
        <v>1</v>
      </c>
      <c r="L89" s="1">
        <f>((Fórmulas!C$6/Fórmulas!D$6)/0.7)*K89</f>
        <v>2.4489795918367347</v>
      </c>
      <c r="M89" s="1">
        <f>L89*Fórmulas!D$6</f>
        <v>857.14285714285711</v>
      </c>
    </row>
    <row r="90" spans="1:13" x14ac:dyDescent="0.25">
      <c r="A90" s="9" t="s">
        <v>43</v>
      </c>
      <c r="B90" s="26" t="s">
        <v>127</v>
      </c>
      <c r="C90" s="26"/>
      <c r="D90" s="26"/>
      <c r="E90" s="9">
        <v>4</v>
      </c>
      <c r="F90" s="9"/>
      <c r="G90" s="1">
        <f>((Fórmulas!C$7/Fórmulas!D$7)/Fórmulas!E$7)*E90</f>
        <v>11.428571428571429</v>
      </c>
      <c r="H90" s="1">
        <f>G90*Fórmulas!B$9</f>
        <v>4000</v>
      </c>
      <c r="I90" s="7">
        <f>E90/Fórmulas!E$7</f>
        <v>6.666666666666667</v>
      </c>
      <c r="J90" s="17">
        <f>G90*Fórmulas!B$10</f>
        <v>6857.1428571428569</v>
      </c>
      <c r="K90" s="1">
        <v>1</v>
      </c>
      <c r="L90" s="1">
        <f>((Fórmulas!C$6/Fórmulas!D$6)/0.7)*K90</f>
        <v>2.4489795918367347</v>
      </c>
      <c r="M90" s="1">
        <f>L90*Fórmulas!D$6</f>
        <v>857.14285714285711</v>
      </c>
    </row>
    <row r="91" spans="1:13" x14ac:dyDescent="0.25">
      <c r="A91" s="9" t="s">
        <v>43</v>
      </c>
      <c r="B91" s="26" t="s">
        <v>128</v>
      </c>
      <c r="C91" s="26"/>
      <c r="D91" s="26"/>
      <c r="E91" s="9">
        <v>4</v>
      </c>
      <c r="F91" s="9"/>
      <c r="G91" s="1">
        <f>((Fórmulas!C$7/Fórmulas!D$7)/Fórmulas!E$7)*E91</f>
        <v>11.428571428571429</v>
      </c>
      <c r="H91" s="1">
        <f>G91*Fórmulas!B$9</f>
        <v>4000</v>
      </c>
      <c r="I91" s="7">
        <f>E91/Fórmulas!E$7</f>
        <v>6.666666666666667</v>
      </c>
      <c r="J91" s="17">
        <f>G91*Fórmulas!B$10</f>
        <v>6857.1428571428569</v>
      </c>
      <c r="K91" s="1">
        <v>1</v>
      </c>
      <c r="L91" s="1">
        <f>((Fórmulas!C$6/Fórmulas!D$6)/0.7)*K91</f>
        <v>2.4489795918367347</v>
      </c>
      <c r="M91" s="1">
        <f>L91*Fórmulas!D$6</f>
        <v>857.14285714285711</v>
      </c>
    </row>
    <row r="92" spans="1:13" x14ac:dyDescent="0.25">
      <c r="A92" s="9" t="s">
        <v>43</v>
      </c>
      <c r="B92" s="26" t="s">
        <v>129</v>
      </c>
      <c r="C92" s="26"/>
      <c r="D92" s="26"/>
      <c r="E92" s="9">
        <v>4</v>
      </c>
      <c r="F92" s="9"/>
      <c r="G92" s="1">
        <f>((Fórmulas!C$7/Fórmulas!D$7)/Fórmulas!E$7)*E92</f>
        <v>11.428571428571429</v>
      </c>
      <c r="H92" s="1">
        <f>G92*Fórmulas!B$9</f>
        <v>4000</v>
      </c>
      <c r="I92" s="7">
        <f>E92/Fórmulas!E$7</f>
        <v>6.666666666666667</v>
      </c>
      <c r="J92" s="17">
        <f>G92*Fórmulas!B$10</f>
        <v>6857.1428571428569</v>
      </c>
      <c r="K92" s="1">
        <v>1</v>
      </c>
      <c r="L92" s="1">
        <f>((Fórmulas!C$6/Fórmulas!D$6)/0.7)*K92</f>
        <v>2.4489795918367347</v>
      </c>
      <c r="M92" s="1">
        <f>L92*Fórmulas!D$6</f>
        <v>857.14285714285711</v>
      </c>
    </row>
    <row r="93" spans="1:13" x14ac:dyDescent="0.25">
      <c r="A93" s="9" t="s">
        <v>43</v>
      </c>
      <c r="B93" s="26" t="s">
        <v>130</v>
      </c>
      <c r="C93" s="26"/>
      <c r="D93" s="26"/>
      <c r="E93" s="9">
        <v>4</v>
      </c>
      <c r="F93" s="9"/>
      <c r="G93" s="1">
        <f>((Fórmulas!C$7/Fórmulas!D$7)/Fórmulas!E$7)*E93</f>
        <v>11.428571428571429</v>
      </c>
      <c r="H93" s="1">
        <f>G93*Fórmulas!B$9</f>
        <v>4000</v>
      </c>
      <c r="I93" s="7">
        <f>E93/Fórmulas!E$7</f>
        <v>6.666666666666667</v>
      </c>
      <c r="J93" s="17">
        <f>G93*Fórmulas!B$10</f>
        <v>6857.1428571428569</v>
      </c>
      <c r="K93" s="1">
        <v>1</v>
      </c>
      <c r="L93" s="1">
        <f>((Fórmulas!C$6/Fórmulas!D$6)/0.7)*K93</f>
        <v>2.4489795918367347</v>
      </c>
      <c r="M93" s="1">
        <f>L93*Fórmulas!D$6</f>
        <v>857.14285714285711</v>
      </c>
    </row>
    <row r="94" spans="1:13" x14ac:dyDescent="0.25">
      <c r="A94" s="9" t="s">
        <v>43</v>
      </c>
      <c r="B94" s="26" t="s">
        <v>131</v>
      </c>
      <c r="C94" s="26"/>
      <c r="D94" s="26"/>
      <c r="E94" s="9">
        <v>4</v>
      </c>
      <c r="F94" s="9"/>
      <c r="G94" s="1">
        <f>((Fórmulas!C$7/Fórmulas!D$7)/Fórmulas!E$7)*E94</f>
        <v>11.428571428571429</v>
      </c>
      <c r="H94" s="1">
        <f>G94*Fórmulas!B$9</f>
        <v>4000</v>
      </c>
      <c r="I94" s="7">
        <f>E94/Fórmulas!E$7</f>
        <v>6.666666666666667</v>
      </c>
      <c r="J94" s="17">
        <f>G94*Fórmulas!B$10</f>
        <v>6857.1428571428569</v>
      </c>
      <c r="K94" s="1">
        <v>1</v>
      </c>
      <c r="L94" s="1">
        <f>((Fórmulas!C$6/Fórmulas!D$6)/0.7)*K94</f>
        <v>2.4489795918367347</v>
      </c>
      <c r="M94" s="1">
        <f>L94*Fórmulas!D$6</f>
        <v>857.14285714285711</v>
      </c>
    </row>
    <row r="95" spans="1:13" x14ac:dyDescent="0.25">
      <c r="A95" s="9" t="s">
        <v>43</v>
      </c>
      <c r="B95" s="25" t="s">
        <v>132</v>
      </c>
      <c r="C95" s="25"/>
      <c r="D95" s="25"/>
      <c r="E95" s="9">
        <v>3.7</v>
      </c>
      <c r="F95" s="9"/>
      <c r="G95" s="1">
        <f>((Fórmulas!C$7/Fórmulas!D$7)/Fórmulas!E$7)*E95</f>
        <v>10.571428571428573</v>
      </c>
      <c r="H95" s="1">
        <f>G95*Fórmulas!B$9</f>
        <v>3700.0000000000005</v>
      </c>
      <c r="I95" s="7">
        <f>E95/Fórmulas!E$7</f>
        <v>6.166666666666667</v>
      </c>
      <c r="J95" s="17">
        <f>G95*Fórmulas!B$10</f>
        <v>6342.857142857144</v>
      </c>
      <c r="K95" s="1">
        <v>1</v>
      </c>
      <c r="L95" s="1">
        <f>((Fórmulas!C$6/Fórmulas!D$6)/0.7)*K95</f>
        <v>2.4489795918367347</v>
      </c>
      <c r="M95" s="1">
        <f>L95*Fórmulas!D$6</f>
        <v>857.14285714285711</v>
      </c>
    </row>
    <row r="96" spans="1:13" x14ac:dyDescent="0.25">
      <c r="A96" s="9" t="s">
        <v>43</v>
      </c>
      <c r="B96" s="26" t="s">
        <v>133</v>
      </c>
      <c r="C96" s="26"/>
      <c r="D96" s="26"/>
      <c r="E96" s="9">
        <v>3.7</v>
      </c>
      <c r="F96" s="9"/>
      <c r="G96" s="1">
        <f>((Fórmulas!C$7/Fórmulas!D$7)/Fórmulas!E$7)*E96</f>
        <v>10.571428571428573</v>
      </c>
      <c r="H96" s="1">
        <f>G96*Fórmulas!B$9</f>
        <v>3700.0000000000005</v>
      </c>
      <c r="I96" s="7">
        <f>E96/Fórmulas!E$7</f>
        <v>6.166666666666667</v>
      </c>
      <c r="J96" s="17">
        <f>G96*Fórmulas!B$10</f>
        <v>6342.857142857144</v>
      </c>
      <c r="K96" s="1">
        <v>1</v>
      </c>
      <c r="L96" s="1">
        <f>((Fórmulas!C$6/Fórmulas!D$6)/0.7)*K96</f>
        <v>2.4489795918367347</v>
      </c>
      <c r="M96" s="1">
        <f>L96*Fórmulas!D$6</f>
        <v>857.14285714285711</v>
      </c>
    </row>
    <row r="97" spans="1:13" x14ac:dyDescent="0.25">
      <c r="A97" s="9" t="s">
        <v>43</v>
      </c>
      <c r="B97" s="26" t="s">
        <v>134</v>
      </c>
      <c r="C97" s="26"/>
      <c r="D97" s="26"/>
      <c r="E97" s="9">
        <v>3.7</v>
      </c>
      <c r="F97" s="9"/>
      <c r="G97" s="1">
        <f>((Fórmulas!C$7/Fórmulas!D$7)/Fórmulas!E$7)*E97</f>
        <v>10.571428571428573</v>
      </c>
      <c r="H97" s="1">
        <f>G97*Fórmulas!B$9</f>
        <v>3700.0000000000005</v>
      </c>
      <c r="I97" s="7">
        <f>E97/Fórmulas!E$7</f>
        <v>6.166666666666667</v>
      </c>
      <c r="J97" s="17">
        <f>G97*Fórmulas!B$10</f>
        <v>6342.857142857144</v>
      </c>
      <c r="K97" s="1">
        <v>1</v>
      </c>
      <c r="L97" s="1">
        <f>((Fórmulas!C$6/Fórmulas!D$6)/0.7)*K97</f>
        <v>2.4489795918367347</v>
      </c>
      <c r="M97" s="1">
        <f>L97*Fórmulas!D$6</f>
        <v>857.14285714285711</v>
      </c>
    </row>
    <row r="98" spans="1:13" x14ac:dyDescent="0.25">
      <c r="A98" s="9" t="s">
        <v>43</v>
      </c>
      <c r="B98" s="26" t="s">
        <v>135</v>
      </c>
      <c r="C98" s="26"/>
      <c r="D98" s="26"/>
      <c r="E98" s="9">
        <v>3.7</v>
      </c>
      <c r="F98" s="9"/>
      <c r="G98" s="1">
        <f>((Fórmulas!C$7/Fórmulas!D$7)/Fórmulas!E$7)*E98</f>
        <v>10.571428571428573</v>
      </c>
      <c r="H98" s="1">
        <f>G98*Fórmulas!B$9</f>
        <v>3700.0000000000005</v>
      </c>
      <c r="I98" s="7">
        <f>E98/Fórmulas!E$7</f>
        <v>6.166666666666667</v>
      </c>
      <c r="J98" s="17">
        <f>G98*Fórmulas!B$10</f>
        <v>6342.857142857144</v>
      </c>
      <c r="K98" s="1">
        <v>1</v>
      </c>
      <c r="L98" s="1">
        <f>((Fórmulas!C$6/Fórmulas!D$6)/0.7)*K98</f>
        <v>2.4489795918367347</v>
      </c>
      <c r="M98" s="1">
        <f>L98*Fórmulas!D$6</f>
        <v>857.14285714285711</v>
      </c>
    </row>
    <row r="99" spans="1:13" x14ac:dyDescent="0.25">
      <c r="A99" s="9" t="s">
        <v>43</v>
      </c>
      <c r="B99" s="26" t="s">
        <v>136</v>
      </c>
      <c r="C99" s="26"/>
      <c r="D99" s="26"/>
      <c r="E99" s="9">
        <v>3.7</v>
      </c>
      <c r="F99" s="9"/>
      <c r="G99" s="1">
        <f>((Fórmulas!C$7/Fórmulas!D$7)/Fórmulas!E$7)*E99</f>
        <v>10.571428571428573</v>
      </c>
      <c r="H99" s="1">
        <f>G99*Fórmulas!B$9</f>
        <v>3700.0000000000005</v>
      </c>
      <c r="I99" s="7">
        <f>E99/Fórmulas!E$7</f>
        <v>6.166666666666667</v>
      </c>
      <c r="J99" s="17">
        <f>G99*Fórmulas!B$10</f>
        <v>6342.857142857144</v>
      </c>
      <c r="K99" s="1">
        <v>1</v>
      </c>
      <c r="L99" s="1">
        <f>((Fórmulas!C$6/Fórmulas!D$6)/0.7)*K99</f>
        <v>2.4489795918367347</v>
      </c>
      <c r="M99" s="1">
        <f>L99*Fórmulas!D$6</f>
        <v>857.14285714285711</v>
      </c>
    </row>
    <row r="100" spans="1:13" x14ac:dyDescent="0.25">
      <c r="A100" s="9" t="s">
        <v>43</v>
      </c>
      <c r="B100" s="26" t="s">
        <v>137</v>
      </c>
      <c r="C100" s="26"/>
      <c r="D100" s="26"/>
      <c r="E100" s="9">
        <v>3.7</v>
      </c>
      <c r="F100" s="9"/>
      <c r="G100" s="1">
        <f>((Fórmulas!C$7/Fórmulas!D$7)/Fórmulas!E$7)*E100</f>
        <v>10.571428571428573</v>
      </c>
      <c r="H100" s="1">
        <f>G100*Fórmulas!B$9</f>
        <v>3700.0000000000005</v>
      </c>
      <c r="I100" s="7">
        <f>E100/Fórmulas!E$7</f>
        <v>6.166666666666667</v>
      </c>
      <c r="J100" s="17">
        <f>G100*Fórmulas!B$10</f>
        <v>6342.857142857144</v>
      </c>
      <c r="K100" s="1">
        <v>1</v>
      </c>
      <c r="L100" s="1">
        <f>((Fórmulas!C$6/Fórmulas!D$6)/0.7)*K100</f>
        <v>2.4489795918367347</v>
      </c>
      <c r="M100" s="1">
        <f>L100*Fórmulas!D$6</f>
        <v>857.14285714285711</v>
      </c>
    </row>
    <row r="101" spans="1:13" x14ac:dyDescent="0.25">
      <c r="A101" s="9" t="s">
        <v>43</v>
      </c>
      <c r="B101" s="26" t="s">
        <v>138</v>
      </c>
      <c r="C101" s="26"/>
      <c r="D101" s="26"/>
      <c r="E101" s="9">
        <v>4</v>
      </c>
      <c r="F101" s="9"/>
      <c r="G101" s="1">
        <f>((Fórmulas!C$7/Fórmulas!D$7)/Fórmulas!E$7)*E101</f>
        <v>11.428571428571429</v>
      </c>
      <c r="H101" s="1">
        <f>G101*Fórmulas!B$9</f>
        <v>4000</v>
      </c>
      <c r="I101" s="7">
        <f>E101/Fórmulas!E$7</f>
        <v>6.666666666666667</v>
      </c>
      <c r="J101" s="17">
        <f>G101*Fórmulas!B$10</f>
        <v>6857.1428571428569</v>
      </c>
      <c r="K101" s="1">
        <v>1</v>
      </c>
      <c r="L101" s="1">
        <f>((Fórmulas!C$6/Fórmulas!D$6)/0.7)*K101</f>
        <v>2.4489795918367347</v>
      </c>
      <c r="M101" s="1">
        <f>L101*Fórmulas!D$6</f>
        <v>857.14285714285711</v>
      </c>
    </row>
    <row r="102" spans="1:13" x14ac:dyDescent="0.25">
      <c r="A102" s="9" t="s">
        <v>43</v>
      </c>
      <c r="B102" s="26" t="s">
        <v>139</v>
      </c>
      <c r="C102" s="26"/>
      <c r="D102" s="26"/>
      <c r="E102" s="9">
        <v>4</v>
      </c>
      <c r="F102" s="9"/>
      <c r="G102" s="1">
        <f>((Fórmulas!C$7/Fórmulas!D$7)/Fórmulas!E$7)*E102</f>
        <v>11.428571428571429</v>
      </c>
      <c r="H102" s="1">
        <f>G102*Fórmulas!B$9</f>
        <v>4000</v>
      </c>
      <c r="I102" s="7">
        <f>E102/Fórmulas!E$7</f>
        <v>6.666666666666667</v>
      </c>
      <c r="J102" s="17">
        <f>G102*Fórmulas!B$10</f>
        <v>6857.1428571428569</v>
      </c>
      <c r="K102" s="1">
        <v>1</v>
      </c>
      <c r="L102" s="1">
        <f>((Fórmulas!C$6/Fórmulas!D$6)/0.7)*K102</f>
        <v>2.4489795918367347</v>
      </c>
      <c r="M102" s="1">
        <f>L102*Fórmulas!D$6</f>
        <v>857.14285714285711</v>
      </c>
    </row>
    <row r="103" spans="1:13" x14ac:dyDescent="0.25">
      <c r="A103" s="9" t="s">
        <v>43</v>
      </c>
      <c r="B103" s="26" t="s">
        <v>140</v>
      </c>
      <c r="C103" s="26"/>
      <c r="D103" s="26"/>
      <c r="E103" s="9">
        <v>4</v>
      </c>
      <c r="F103" s="9"/>
      <c r="G103" s="1">
        <f>((Fórmulas!C$7/Fórmulas!D$7)/Fórmulas!E$7)*E103</f>
        <v>11.428571428571429</v>
      </c>
      <c r="H103" s="1">
        <f>G103*Fórmulas!B$9</f>
        <v>4000</v>
      </c>
      <c r="I103" s="7">
        <f>E103/Fórmulas!E$7</f>
        <v>6.666666666666667</v>
      </c>
      <c r="J103" s="17">
        <f>G103*Fórmulas!B$10</f>
        <v>6857.1428571428569</v>
      </c>
      <c r="K103" s="1">
        <v>1</v>
      </c>
      <c r="L103" s="1">
        <f>((Fórmulas!C$6/Fórmulas!D$6)/0.7)*K103</f>
        <v>2.4489795918367347</v>
      </c>
      <c r="M103" s="1">
        <f>L103*Fórmulas!D$6</f>
        <v>857.14285714285711</v>
      </c>
    </row>
    <row r="104" spans="1:13" x14ac:dyDescent="0.25">
      <c r="A104" s="9" t="s">
        <v>43</v>
      </c>
      <c r="B104" s="26" t="s">
        <v>141</v>
      </c>
      <c r="C104" s="26"/>
      <c r="D104" s="26"/>
      <c r="E104" s="9">
        <v>4</v>
      </c>
      <c r="F104" s="9"/>
      <c r="G104" s="1">
        <f>((Fórmulas!C$7/Fórmulas!D$7)/Fórmulas!E$7)*E104</f>
        <v>11.428571428571429</v>
      </c>
      <c r="H104" s="1">
        <f>G104*Fórmulas!B$9</f>
        <v>4000</v>
      </c>
      <c r="I104" s="7">
        <f>E104/Fórmulas!E$7</f>
        <v>6.666666666666667</v>
      </c>
      <c r="J104" s="17">
        <f>G104*Fórmulas!B$10</f>
        <v>6857.1428571428569</v>
      </c>
      <c r="K104" s="1">
        <v>1</v>
      </c>
      <c r="L104" s="1">
        <f>((Fórmulas!C$6/Fórmulas!D$6)/0.7)*K104</f>
        <v>2.4489795918367347</v>
      </c>
      <c r="M104" s="1">
        <f>L104*Fórmulas!D$6</f>
        <v>857.14285714285711</v>
      </c>
    </row>
    <row r="105" spans="1:13" x14ac:dyDescent="0.25">
      <c r="A105" s="9" t="s">
        <v>43</v>
      </c>
      <c r="B105" s="26" t="s">
        <v>142</v>
      </c>
      <c r="C105" s="26"/>
      <c r="D105" s="26"/>
      <c r="E105" s="9">
        <v>4</v>
      </c>
      <c r="F105" s="9"/>
      <c r="G105" s="1">
        <f>((Fórmulas!C$7/Fórmulas!D$7)/Fórmulas!E$7)*E105</f>
        <v>11.428571428571429</v>
      </c>
      <c r="H105" s="1">
        <f>G105*Fórmulas!B$9</f>
        <v>4000</v>
      </c>
      <c r="I105" s="7">
        <f>E105/Fórmulas!E$7</f>
        <v>6.666666666666667</v>
      </c>
      <c r="J105" s="17">
        <f>G105*Fórmulas!B$10</f>
        <v>6857.1428571428569</v>
      </c>
      <c r="K105" s="1">
        <v>1</v>
      </c>
      <c r="L105" s="1">
        <f>((Fórmulas!C$6/Fórmulas!D$6)/0.7)*K105</f>
        <v>2.4489795918367347</v>
      </c>
      <c r="M105" s="1">
        <f>L105*Fórmulas!D$6</f>
        <v>857.14285714285711</v>
      </c>
    </row>
    <row r="106" spans="1:13" x14ac:dyDescent="0.25">
      <c r="A106" s="9"/>
      <c r="B106" s="25"/>
      <c r="C106" s="25"/>
      <c r="D106" s="25"/>
      <c r="E106" s="9">
        <v>0</v>
      </c>
      <c r="F106" s="9"/>
      <c r="G106" s="1">
        <f>((Fórmulas!C$7/Fórmulas!D$7)/Fórmulas!E$7)*E106</f>
        <v>0</v>
      </c>
      <c r="H106" s="1">
        <f>G106*Fórmulas!B$9</f>
        <v>0</v>
      </c>
      <c r="I106" s="7">
        <f>E106/Fórmulas!E$7</f>
        <v>0</v>
      </c>
      <c r="J106" s="17">
        <f>G106*Fórmulas!B$10</f>
        <v>0</v>
      </c>
      <c r="K106" s="1">
        <v>1</v>
      </c>
      <c r="L106" s="1">
        <f>((Fórmulas!C$6/Fórmulas!D$6)/0.7)*K106</f>
        <v>2.4489795918367347</v>
      </c>
      <c r="M106" s="1">
        <f>L106*Fórmulas!D$6</f>
        <v>857.14285714285711</v>
      </c>
    </row>
    <row r="107" spans="1:13" x14ac:dyDescent="0.25">
      <c r="A107" s="9" t="s">
        <v>43</v>
      </c>
      <c r="B107" s="26" t="s">
        <v>144</v>
      </c>
      <c r="C107" s="26"/>
      <c r="D107" s="26"/>
      <c r="E107" s="9">
        <v>3.3</v>
      </c>
      <c r="F107" s="9"/>
      <c r="G107" s="1">
        <f>((Fórmulas!C$7/Fórmulas!D$7)/Fórmulas!E$7)*E107</f>
        <v>9.4285714285714288</v>
      </c>
      <c r="H107" s="1">
        <f>G107*Fórmulas!B$9</f>
        <v>3300</v>
      </c>
      <c r="I107" s="7">
        <f>E107/Fórmulas!E$7</f>
        <v>5.5</v>
      </c>
      <c r="J107" s="17">
        <f>G107*Fórmulas!B$10</f>
        <v>5657.1428571428569</v>
      </c>
      <c r="K107" s="1">
        <v>1</v>
      </c>
      <c r="L107" s="1">
        <f>((Fórmulas!C$6/Fórmulas!D$6)/0.7)*K107</f>
        <v>2.4489795918367347</v>
      </c>
      <c r="M107" s="1">
        <f>L107*Fórmulas!D$6</f>
        <v>857.14285714285711</v>
      </c>
    </row>
    <row r="108" spans="1:13" x14ac:dyDescent="0.25">
      <c r="A108" s="9" t="s">
        <v>43</v>
      </c>
      <c r="B108" s="26" t="s">
        <v>145</v>
      </c>
      <c r="C108" s="26"/>
      <c r="D108" s="26"/>
      <c r="E108" s="9">
        <v>3.3</v>
      </c>
      <c r="F108" s="9"/>
      <c r="G108" s="1">
        <f>((Fórmulas!C$7/Fórmulas!D$7)/Fórmulas!E$7)*E108</f>
        <v>9.4285714285714288</v>
      </c>
      <c r="H108" s="1">
        <f>G108*Fórmulas!B$9</f>
        <v>3300</v>
      </c>
      <c r="I108" s="7">
        <f>E108/Fórmulas!E$7</f>
        <v>5.5</v>
      </c>
      <c r="J108" s="17">
        <f>G108*Fórmulas!B$10</f>
        <v>5657.1428571428569</v>
      </c>
      <c r="K108" s="1">
        <v>1</v>
      </c>
      <c r="L108" s="1">
        <f>((Fórmulas!C$6/Fórmulas!D$6)/0.7)*K108</f>
        <v>2.4489795918367347</v>
      </c>
      <c r="M108" s="1">
        <f>L108*Fórmulas!D$6</f>
        <v>857.14285714285711</v>
      </c>
    </row>
    <row r="109" spans="1:13" x14ac:dyDescent="0.25">
      <c r="A109" s="9" t="s">
        <v>43</v>
      </c>
      <c r="B109" s="26" t="s">
        <v>146</v>
      </c>
      <c r="C109" s="26"/>
      <c r="D109" s="26"/>
      <c r="E109" s="9">
        <v>3.3</v>
      </c>
      <c r="F109" s="9"/>
      <c r="G109" s="1">
        <f>((Fórmulas!C$7/Fórmulas!D$7)/Fórmulas!E$7)*E109</f>
        <v>9.4285714285714288</v>
      </c>
      <c r="H109" s="1">
        <f>G109*Fórmulas!B$9</f>
        <v>3300</v>
      </c>
      <c r="I109" s="7">
        <f>E109/Fórmulas!E$7</f>
        <v>5.5</v>
      </c>
      <c r="J109" s="17">
        <f>G109*Fórmulas!B$10</f>
        <v>5657.1428571428569</v>
      </c>
      <c r="K109" s="1">
        <v>1</v>
      </c>
      <c r="L109" s="1">
        <f>((Fórmulas!C$6/Fórmulas!D$6)/0.7)*K109</f>
        <v>2.4489795918367347</v>
      </c>
      <c r="M109" s="1">
        <f>L109*Fórmulas!D$6</f>
        <v>857.14285714285711</v>
      </c>
    </row>
    <row r="110" spans="1:13" x14ac:dyDescent="0.25">
      <c r="A110" s="9" t="s">
        <v>43</v>
      </c>
      <c r="B110" s="26" t="s">
        <v>147</v>
      </c>
      <c r="C110" s="26"/>
      <c r="D110" s="26"/>
      <c r="E110" s="9">
        <v>3.3</v>
      </c>
      <c r="F110" s="9"/>
      <c r="G110" s="1">
        <f>((Fórmulas!C$7/Fórmulas!D$7)/Fórmulas!E$7)*E110</f>
        <v>9.4285714285714288</v>
      </c>
      <c r="H110" s="1">
        <f>G110*Fórmulas!B$9</f>
        <v>3300</v>
      </c>
      <c r="I110" s="7">
        <f>E110/Fórmulas!E$7</f>
        <v>5.5</v>
      </c>
      <c r="J110" s="17">
        <f>G110*Fórmulas!B$10</f>
        <v>5657.1428571428569</v>
      </c>
      <c r="K110" s="1">
        <v>1</v>
      </c>
      <c r="L110" s="1">
        <f>((Fórmulas!C$6/Fórmulas!D$6)/0.7)*K110</f>
        <v>2.4489795918367347</v>
      </c>
      <c r="M110" s="1">
        <f>L110*Fórmulas!D$6</f>
        <v>857.14285714285711</v>
      </c>
    </row>
    <row r="111" spans="1:13" x14ac:dyDescent="0.25">
      <c r="A111" s="9" t="s">
        <v>43</v>
      </c>
      <c r="B111" s="26" t="s">
        <v>148</v>
      </c>
      <c r="C111" s="26"/>
      <c r="D111" s="26"/>
      <c r="E111" s="9">
        <v>4.3</v>
      </c>
      <c r="F111" s="9"/>
      <c r="G111" s="1">
        <f>((Fórmulas!C$7/Fórmulas!D$7)/Fórmulas!E$7)*E111</f>
        <v>12.285714285714285</v>
      </c>
      <c r="H111" s="1">
        <f>G111*Fórmulas!B$9</f>
        <v>4300</v>
      </c>
      <c r="I111" s="7">
        <f>E111/Fórmulas!E$7</f>
        <v>7.166666666666667</v>
      </c>
      <c r="J111" s="17">
        <f>G111*Fórmulas!B$10</f>
        <v>7371.4285714285706</v>
      </c>
      <c r="K111" s="1">
        <v>1</v>
      </c>
      <c r="L111" s="1">
        <f>((Fórmulas!C$6/Fórmulas!D$6)/0.7)*K111</f>
        <v>2.4489795918367347</v>
      </c>
      <c r="M111" s="1">
        <f>L111*Fórmulas!D$6</f>
        <v>857.14285714285711</v>
      </c>
    </row>
    <row r="112" spans="1:13" x14ac:dyDescent="0.25">
      <c r="A112" s="9" t="s">
        <v>43</v>
      </c>
      <c r="B112" s="26" t="s">
        <v>149</v>
      </c>
      <c r="C112" s="26"/>
      <c r="D112" s="26"/>
      <c r="E112" s="9">
        <v>4.3</v>
      </c>
      <c r="F112" s="9"/>
      <c r="G112" s="1">
        <f>((Fórmulas!C$7/Fórmulas!D$7)/Fórmulas!E$7)*E112</f>
        <v>12.285714285714285</v>
      </c>
      <c r="H112" s="1">
        <f>G112*Fórmulas!B$9</f>
        <v>4300</v>
      </c>
      <c r="I112" s="7">
        <f>E112/Fórmulas!E$7</f>
        <v>7.166666666666667</v>
      </c>
      <c r="J112" s="17">
        <f>G112*Fórmulas!B$10</f>
        <v>7371.4285714285706</v>
      </c>
      <c r="K112" s="1">
        <v>1</v>
      </c>
      <c r="L112" s="1">
        <f>((Fórmulas!C$6/Fórmulas!D$6)/0.7)*K112</f>
        <v>2.4489795918367347</v>
      </c>
      <c r="M112" s="1">
        <f>L112*Fórmulas!D$6</f>
        <v>857.14285714285711</v>
      </c>
    </row>
    <row r="113" spans="1:13" x14ac:dyDescent="0.25">
      <c r="A113" s="9" t="s">
        <v>43</v>
      </c>
      <c r="B113" s="26" t="s">
        <v>150</v>
      </c>
      <c r="C113" s="26"/>
      <c r="D113" s="26"/>
      <c r="E113" s="9">
        <v>4.3</v>
      </c>
      <c r="F113" s="9"/>
      <c r="G113" s="1">
        <f>((Fórmulas!C$7/Fórmulas!D$7)/Fórmulas!E$7)*E113</f>
        <v>12.285714285714285</v>
      </c>
      <c r="H113" s="1">
        <f>G113*Fórmulas!B$9</f>
        <v>4300</v>
      </c>
      <c r="I113" s="7">
        <f>E113/Fórmulas!E$7</f>
        <v>7.166666666666667</v>
      </c>
      <c r="J113" s="17">
        <f>G113*Fórmulas!B$10</f>
        <v>7371.4285714285706</v>
      </c>
      <c r="K113" s="1">
        <v>1</v>
      </c>
      <c r="L113" s="1">
        <f>((Fórmulas!C$6/Fórmulas!D$6)/0.7)*K113</f>
        <v>2.4489795918367347</v>
      </c>
      <c r="M113" s="1">
        <f>L113*Fórmulas!D$6</f>
        <v>857.14285714285711</v>
      </c>
    </row>
    <row r="114" spans="1:13" x14ac:dyDescent="0.25">
      <c r="A114" s="9" t="s">
        <v>43</v>
      </c>
      <c r="B114" s="26" t="s">
        <v>151</v>
      </c>
      <c r="C114" s="26"/>
      <c r="D114" s="26"/>
      <c r="E114" s="9">
        <v>4.3</v>
      </c>
      <c r="F114" s="9"/>
      <c r="G114" s="1">
        <f>((Fórmulas!C$7/Fórmulas!D$7)/Fórmulas!E$7)*E114</f>
        <v>12.285714285714285</v>
      </c>
      <c r="H114" s="1">
        <f>G114*Fórmulas!B$9</f>
        <v>4300</v>
      </c>
      <c r="I114" s="7">
        <f>E114/Fórmulas!E$7</f>
        <v>7.166666666666667</v>
      </c>
      <c r="J114" s="17">
        <f>G114*Fórmulas!B$10</f>
        <v>7371.4285714285706</v>
      </c>
      <c r="K114" s="1">
        <v>1</v>
      </c>
      <c r="L114" s="1">
        <f>((Fórmulas!C$6/Fórmulas!D$6)/0.7)*K114</f>
        <v>2.4489795918367347</v>
      </c>
      <c r="M114" s="1">
        <f>L114*Fórmulas!D$6</f>
        <v>857.14285714285711</v>
      </c>
    </row>
    <row r="115" spans="1:13" x14ac:dyDescent="0.25">
      <c r="A115" s="9" t="s">
        <v>43</v>
      </c>
      <c r="B115" s="26" t="s">
        <v>152</v>
      </c>
      <c r="C115" s="26"/>
      <c r="D115" s="26"/>
      <c r="E115" s="9">
        <v>3.7</v>
      </c>
      <c r="F115" s="9"/>
      <c r="G115" s="1">
        <f>((Fórmulas!C$7/Fórmulas!D$7)/Fórmulas!E$7)*E115</f>
        <v>10.571428571428573</v>
      </c>
      <c r="H115" s="1">
        <f>G115*Fórmulas!B$9</f>
        <v>3700.0000000000005</v>
      </c>
      <c r="I115" s="7">
        <f>E115/Fórmulas!E$7</f>
        <v>6.166666666666667</v>
      </c>
      <c r="J115" s="17">
        <f>G115*Fórmulas!B$10</f>
        <v>6342.857142857144</v>
      </c>
      <c r="K115" s="1">
        <v>1</v>
      </c>
      <c r="L115" s="1">
        <f>((Fórmulas!C$6/Fórmulas!D$6)/0.7)*K115</f>
        <v>2.4489795918367347</v>
      </c>
      <c r="M115" s="1">
        <f>L115*Fórmulas!D$6</f>
        <v>857.14285714285711</v>
      </c>
    </row>
    <row r="116" spans="1:13" x14ac:dyDescent="0.25">
      <c r="A116" s="9" t="s">
        <v>43</v>
      </c>
      <c r="B116" s="26" t="s">
        <v>153</v>
      </c>
      <c r="C116" s="26"/>
      <c r="D116" s="26"/>
      <c r="E116" s="9">
        <v>3.7</v>
      </c>
      <c r="F116" s="9"/>
      <c r="G116" s="1">
        <f>((Fórmulas!C$7/Fórmulas!D$7)/Fórmulas!E$7)*E116</f>
        <v>10.571428571428573</v>
      </c>
      <c r="H116" s="1">
        <f>G116*Fórmulas!B$9</f>
        <v>3700.0000000000005</v>
      </c>
      <c r="I116" s="7">
        <f>E116/Fórmulas!E$7</f>
        <v>6.166666666666667</v>
      </c>
      <c r="J116" s="17">
        <f>G116*Fórmulas!B$10</f>
        <v>6342.857142857144</v>
      </c>
      <c r="K116" s="1">
        <v>1</v>
      </c>
      <c r="L116" s="1">
        <f>((Fórmulas!C$6/Fórmulas!D$6)/0.7)*K116</f>
        <v>2.4489795918367347</v>
      </c>
      <c r="M116" s="1">
        <f>L116*Fórmulas!D$6</f>
        <v>857.14285714285711</v>
      </c>
    </row>
    <row r="117" spans="1:13" x14ac:dyDescent="0.25">
      <c r="A117" s="9" t="s">
        <v>43</v>
      </c>
      <c r="B117" s="26" t="s">
        <v>154</v>
      </c>
      <c r="C117" s="26"/>
      <c r="D117" s="26"/>
      <c r="E117" s="9">
        <v>3.7</v>
      </c>
      <c r="F117" s="9"/>
      <c r="G117" s="1">
        <f>((Fórmulas!C$7/Fórmulas!D$7)/Fórmulas!E$7)*E117</f>
        <v>10.571428571428573</v>
      </c>
      <c r="H117" s="1">
        <f>G117*Fórmulas!B$9</f>
        <v>3700.0000000000005</v>
      </c>
      <c r="I117" s="7">
        <f>E117/Fórmulas!E$7</f>
        <v>6.166666666666667</v>
      </c>
      <c r="J117" s="17">
        <f>G117*Fórmulas!B$10</f>
        <v>6342.857142857144</v>
      </c>
      <c r="K117" s="1">
        <v>1</v>
      </c>
      <c r="L117" s="1">
        <f>((Fórmulas!C$6/Fórmulas!D$6)/0.7)*K117</f>
        <v>2.4489795918367347</v>
      </c>
      <c r="M117" s="1">
        <f>L117*Fórmulas!D$6</f>
        <v>857.14285714285711</v>
      </c>
    </row>
    <row r="118" spans="1:13" x14ac:dyDescent="0.25">
      <c r="A118" s="9" t="s">
        <v>43</v>
      </c>
      <c r="B118" s="26" t="s">
        <v>155</v>
      </c>
      <c r="C118" s="26"/>
      <c r="D118" s="26"/>
      <c r="E118" s="9">
        <v>3.7</v>
      </c>
      <c r="F118" s="9"/>
      <c r="G118" s="1">
        <f>((Fórmulas!C$7/Fórmulas!D$7)/Fórmulas!E$7)*E118</f>
        <v>10.571428571428573</v>
      </c>
      <c r="H118" s="1">
        <f>G118*Fórmulas!B$9</f>
        <v>3700.0000000000005</v>
      </c>
      <c r="I118" s="7">
        <f>E118/Fórmulas!E$7</f>
        <v>6.166666666666667</v>
      </c>
      <c r="J118" s="17">
        <f>G118*Fórmulas!B$10</f>
        <v>6342.857142857144</v>
      </c>
      <c r="K118" s="1">
        <v>1</v>
      </c>
      <c r="L118" s="1">
        <f>((Fórmulas!C$6/Fórmulas!D$6)/0.7)*K118</f>
        <v>2.4489795918367347</v>
      </c>
      <c r="M118" s="1">
        <f>L118*Fórmulas!D$6</f>
        <v>857.14285714285711</v>
      </c>
    </row>
    <row r="119" spans="1:13" x14ac:dyDescent="0.25">
      <c r="A119" s="9"/>
      <c r="B119" s="25"/>
      <c r="C119" s="25"/>
      <c r="D119" s="25"/>
      <c r="E119" s="9">
        <v>0</v>
      </c>
      <c r="F119" s="9"/>
      <c r="G119" s="1">
        <f>((Fórmulas!C$7/Fórmulas!D$7)/Fórmulas!E$7)*E119</f>
        <v>0</v>
      </c>
      <c r="H119" s="1">
        <f>G119*Fórmulas!B$9</f>
        <v>0</v>
      </c>
      <c r="I119" s="7">
        <f>E119/Fórmulas!E$7</f>
        <v>0</v>
      </c>
      <c r="J119" s="17">
        <f>G119*Fórmulas!B$10</f>
        <v>0</v>
      </c>
      <c r="K119" s="1">
        <v>1</v>
      </c>
      <c r="L119" s="1">
        <f>((Fórmulas!C$6/Fórmulas!D$6)/0.7)*K119</f>
        <v>2.4489795918367347</v>
      </c>
      <c r="M119" s="1">
        <f>L119*Fórmulas!D$6</f>
        <v>857.14285714285711</v>
      </c>
    </row>
    <row r="120" spans="1:13" x14ac:dyDescent="0.25">
      <c r="A120" s="9" t="s">
        <v>158</v>
      </c>
      <c r="B120" s="26" t="s">
        <v>592</v>
      </c>
      <c r="C120" s="26"/>
      <c r="D120" s="26"/>
      <c r="E120" s="9">
        <v>0.9</v>
      </c>
      <c r="F120" s="9"/>
      <c r="G120" s="1">
        <f>((Fórmulas!C$7/Fórmulas!D$7)/Fórmulas!E$7)*E120</f>
        <v>2.5714285714285716</v>
      </c>
      <c r="H120" s="1">
        <f>G120*Fórmulas!B$9</f>
        <v>900.00000000000011</v>
      </c>
      <c r="I120" s="7">
        <f>E120/Fórmulas!E$7</f>
        <v>1.5</v>
      </c>
      <c r="J120" s="17">
        <f>G120*Fórmulas!B$10</f>
        <v>1542.8571428571429</v>
      </c>
      <c r="K120" s="1">
        <v>1</v>
      </c>
      <c r="L120" s="1">
        <f>((Fórmulas!C$6/Fórmulas!D$6)/0.7)*K120</f>
        <v>2.4489795918367347</v>
      </c>
      <c r="M120" s="1">
        <f>L120*Fórmulas!D$6</f>
        <v>857.14285714285711</v>
      </c>
    </row>
    <row r="121" spans="1:13" x14ac:dyDescent="0.25">
      <c r="A121" s="9" t="s">
        <v>158</v>
      </c>
      <c r="B121" s="26" t="s">
        <v>593</v>
      </c>
      <c r="C121" s="26"/>
      <c r="D121" s="26"/>
      <c r="E121" s="9">
        <v>0.9</v>
      </c>
      <c r="F121" s="9"/>
      <c r="G121" s="1">
        <f>((Fórmulas!C$7/Fórmulas!D$7)/Fórmulas!E$7)*E121</f>
        <v>2.5714285714285716</v>
      </c>
      <c r="H121" s="1">
        <f>G121*Fórmulas!B$9</f>
        <v>900.00000000000011</v>
      </c>
      <c r="I121" s="7">
        <f>E121/Fórmulas!E$7</f>
        <v>1.5</v>
      </c>
      <c r="J121" s="17">
        <f>G121*Fórmulas!B$10</f>
        <v>1542.8571428571429</v>
      </c>
      <c r="K121" s="1">
        <v>1</v>
      </c>
      <c r="L121" s="1">
        <f>((Fórmulas!C$6/Fórmulas!D$6)/0.7)*K121</f>
        <v>2.4489795918367347</v>
      </c>
      <c r="M121" s="1">
        <f>L121*Fórmulas!D$6</f>
        <v>857.14285714285711</v>
      </c>
    </row>
    <row r="122" spans="1:13" x14ac:dyDescent="0.25">
      <c r="A122" s="9" t="s">
        <v>158</v>
      </c>
      <c r="B122" s="26" t="s">
        <v>594</v>
      </c>
      <c r="C122" s="26"/>
      <c r="D122" s="26"/>
      <c r="E122" s="9">
        <v>0.9</v>
      </c>
      <c r="F122" s="9"/>
      <c r="G122" s="1">
        <f>((Fórmulas!C$7/Fórmulas!D$7)/Fórmulas!E$7)*E122</f>
        <v>2.5714285714285716</v>
      </c>
      <c r="H122" s="1">
        <f>G122*Fórmulas!B$9</f>
        <v>900.00000000000011</v>
      </c>
      <c r="I122" s="7">
        <f>E122/Fórmulas!E$7</f>
        <v>1.5</v>
      </c>
      <c r="J122" s="17">
        <f>G122*Fórmulas!B$10</f>
        <v>1542.8571428571429</v>
      </c>
      <c r="K122" s="1">
        <v>1</v>
      </c>
      <c r="L122" s="1">
        <f>((Fórmulas!C$6/Fórmulas!D$6)/0.7)*K122</f>
        <v>2.4489795918367347</v>
      </c>
      <c r="M122" s="1">
        <f>L122*Fórmulas!D$6</f>
        <v>857.14285714285711</v>
      </c>
    </row>
    <row r="123" spans="1:13" x14ac:dyDescent="0.25">
      <c r="A123" s="9" t="s">
        <v>158</v>
      </c>
      <c r="B123" s="26" t="s">
        <v>590</v>
      </c>
      <c r="C123" s="26"/>
      <c r="D123" s="26"/>
      <c r="E123" s="9">
        <v>0.9</v>
      </c>
      <c r="F123" s="9"/>
      <c r="G123" s="1">
        <f>((Fórmulas!C$7/Fórmulas!D$7)/Fórmulas!E$7)*E123</f>
        <v>2.5714285714285716</v>
      </c>
      <c r="H123" s="1">
        <f>G123*Fórmulas!B$9</f>
        <v>900.00000000000011</v>
      </c>
      <c r="I123" s="7">
        <f>E123/Fórmulas!E$7</f>
        <v>1.5</v>
      </c>
      <c r="J123" s="17">
        <f>G123*Fórmulas!B$10</f>
        <v>1542.8571428571429</v>
      </c>
      <c r="K123" s="1">
        <v>1</v>
      </c>
      <c r="L123" s="1">
        <f>((Fórmulas!C$6/Fórmulas!D$6)/0.7)*K123</f>
        <v>2.4489795918367347</v>
      </c>
      <c r="M123" s="1">
        <f>L123*Fórmulas!D$6</f>
        <v>857.14285714285711</v>
      </c>
    </row>
    <row r="124" spans="1:13" x14ac:dyDescent="0.25">
      <c r="A124" s="9" t="s">
        <v>158</v>
      </c>
      <c r="B124" s="26" t="s">
        <v>591</v>
      </c>
      <c r="C124" s="26"/>
      <c r="D124" s="26"/>
      <c r="E124" s="9">
        <v>1.2</v>
      </c>
      <c r="F124" s="9"/>
      <c r="G124" s="1">
        <f>((Fórmulas!C$7/Fórmulas!D$7)/Fórmulas!E$7)*E124</f>
        <v>3.4285714285714284</v>
      </c>
      <c r="H124" s="1">
        <f>G124*Fórmulas!B$9</f>
        <v>1200</v>
      </c>
      <c r="I124" s="7">
        <f>E124/Fórmulas!E$7</f>
        <v>2</v>
      </c>
      <c r="J124" s="17">
        <f>G124*Fórmulas!B$10</f>
        <v>2057.1428571428569</v>
      </c>
      <c r="K124" s="1">
        <v>1</v>
      </c>
      <c r="L124" s="1">
        <f>((Fórmulas!C$6/Fórmulas!D$6)/0.7)*K124</f>
        <v>2.4489795918367347</v>
      </c>
      <c r="M124" s="1">
        <f>L124*Fórmulas!D$6</f>
        <v>857.14285714285711</v>
      </c>
    </row>
    <row r="125" spans="1:13" x14ac:dyDescent="0.25">
      <c r="A125" s="9" t="s">
        <v>158</v>
      </c>
      <c r="B125" s="26" t="s">
        <v>159</v>
      </c>
      <c r="C125" s="26"/>
      <c r="D125" s="26"/>
      <c r="E125" s="9">
        <v>1.2</v>
      </c>
      <c r="F125" s="9"/>
      <c r="G125" s="1">
        <f>((Fórmulas!C$7/Fórmulas!D$7)/Fórmulas!E$7)*E125</f>
        <v>3.4285714285714284</v>
      </c>
      <c r="H125" s="1">
        <f>G125*Fórmulas!B$9</f>
        <v>1200</v>
      </c>
      <c r="I125" s="7">
        <f>E125/Fórmulas!E$7</f>
        <v>2</v>
      </c>
      <c r="J125" s="17">
        <f>G125*Fórmulas!B$10</f>
        <v>2057.1428571428569</v>
      </c>
      <c r="K125" s="1">
        <v>1</v>
      </c>
      <c r="L125" s="1">
        <f>((Fórmulas!C$6/Fórmulas!D$6)/0.7)*K125</f>
        <v>2.4489795918367347</v>
      </c>
      <c r="M125" s="1">
        <f>L125*Fórmulas!D$6</f>
        <v>857.14285714285711</v>
      </c>
    </row>
    <row r="126" spans="1:13" x14ac:dyDescent="0.25">
      <c r="A126" s="9" t="s">
        <v>158</v>
      </c>
      <c r="B126" s="26" t="s">
        <v>160</v>
      </c>
      <c r="C126" s="26"/>
      <c r="D126" s="26"/>
      <c r="E126" s="9">
        <v>1.2</v>
      </c>
      <c r="F126" s="9"/>
      <c r="G126" s="1">
        <f>((Fórmulas!C$7/Fórmulas!D$7)/Fórmulas!E$7)*E126</f>
        <v>3.4285714285714284</v>
      </c>
      <c r="H126" s="1">
        <f>G126*Fórmulas!B$9</f>
        <v>1200</v>
      </c>
      <c r="I126" s="7">
        <f>E126/Fórmulas!E$7</f>
        <v>2</v>
      </c>
      <c r="J126" s="17">
        <f>G126*Fórmulas!B$10</f>
        <v>2057.1428571428569</v>
      </c>
      <c r="K126" s="1">
        <v>1</v>
      </c>
      <c r="L126" s="1">
        <f>((Fórmulas!C$6/Fórmulas!D$6)/0.7)*K126</f>
        <v>2.4489795918367347</v>
      </c>
      <c r="M126" s="1">
        <f>L126*Fórmulas!D$6</f>
        <v>857.14285714285711</v>
      </c>
    </row>
    <row r="127" spans="1:13" x14ac:dyDescent="0.25">
      <c r="A127" s="9" t="s">
        <v>158</v>
      </c>
      <c r="B127" s="26" t="s">
        <v>161</v>
      </c>
      <c r="C127" s="26"/>
      <c r="D127" s="26"/>
      <c r="E127" s="9">
        <v>1.2</v>
      </c>
      <c r="F127" s="9"/>
      <c r="G127" s="1">
        <f>((Fórmulas!C$7/Fórmulas!D$7)/Fórmulas!E$7)*E127</f>
        <v>3.4285714285714284</v>
      </c>
      <c r="H127" s="1">
        <f>G127*Fórmulas!B$9</f>
        <v>1200</v>
      </c>
      <c r="I127" s="7">
        <f>E127/Fórmulas!E$7</f>
        <v>2</v>
      </c>
      <c r="J127" s="17">
        <f>G127*Fórmulas!B$10</f>
        <v>2057.1428571428569</v>
      </c>
      <c r="K127" s="1">
        <v>1</v>
      </c>
      <c r="L127" s="1">
        <f>((Fórmulas!C$6/Fórmulas!D$6)/0.7)*K127</f>
        <v>2.4489795918367347</v>
      </c>
      <c r="M127" s="1">
        <f>L127*Fórmulas!D$6</f>
        <v>857.14285714285711</v>
      </c>
    </row>
    <row r="128" spans="1:13" x14ac:dyDescent="0.25">
      <c r="A128" s="9" t="s">
        <v>158</v>
      </c>
      <c r="B128" s="26" t="s">
        <v>162</v>
      </c>
      <c r="C128" s="26"/>
      <c r="D128" s="26"/>
      <c r="E128" s="9">
        <v>1.2</v>
      </c>
      <c r="F128" s="9"/>
      <c r="G128" s="1">
        <f>((Fórmulas!C$7/Fórmulas!D$7)/Fórmulas!E$7)*E128</f>
        <v>3.4285714285714284</v>
      </c>
      <c r="H128" s="1">
        <f>G128*Fórmulas!B$9</f>
        <v>1200</v>
      </c>
      <c r="I128" s="7">
        <f>E128/Fórmulas!E$7</f>
        <v>2</v>
      </c>
      <c r="J128" s="17">
        <f>G128*Fórmulas!B$10</f>
        <v>2057.1428571428569</v>
      </c>
      <c r="K128" s="1">
        <v>1</v>
      </c>
      <c r="L128" s="1">
        <f>((Fórmulas!C$6/Fórmulas!D$6)/0.7)*K128</f>
        <v>2.4489795918367347</v>
      </c>
      <c r="M128" s="1">
        <f>L128*Fórmulas!D$6</f>
        <v>857.14285714285711</v>
      </c>
    </row>
    <row r="129" spans="1:13" x14ac:dyDescent="0.25">
      <c r="A129" s="9" t="s">
        <v>158</v>
      </c>
      <c r="B129" s="26" t="s">
        <v>163</v>
      </c>
      <c r="C129" s="26"/>
      <c r="D129" s="26"/>
      <c r="E129" s="9">
        <v>1.2</v>
      </c>
      <c r="F129" s="9"/>
      <c r="G129" s="1">
        <f>((Fórmulas!C$7/Fórmulas!D$7)/Fórmulas!E$7)*E129</f>
        <v>3.4285714285714284</v>
      </c>
      <c r="H129" s="1">
        <f>G129*Fórmulas!B$9</f>
        <v>1200</v>
      </c>
      <c r="I129" s="7">
        <f>E129/Fórmulas!E$7</f>
        <v>2</v>
      </c>
      <c r="J129" s="17">
        <f>G129*Fórmulas!B$10</f>
        <v>2057.1428571428569</v>
      </c>
      <c r="K129" s="1">
        <v>1</v>
      </c>
      <c r="L129" s="1">
        <f>((Fórmulas!C$6/Fórmulas!D$6)/0.7)*K129</f>
        <v>2.4489795918367347</v>
      </c>
      <c r="M129" s="1">
        <f>L129*Fórmulas!D$6</f>
        <v>857.14285714285711</v>
      </c>
    </row>
    <row r="130" spans="1:13" x14ac:dyDescent="0.25">
      <c r="A130" s="9" t="s">
        <v>158</v>
      </c>
      <c r="B130" s="26" t="s">
        <v>164</v>
      </c>
      <c r="C130" s="26"/>
      <c r="D130" s="26"/>
      <c r="E130" s="9">
        <v>1.2</v>
      </c>
      <c r="F130" s="9"/>
      <c r="G130" s="1">
        <f>((Fórmulas!C$7/Fórmulas!D$7)/Fórmulas!E$7)*E130</f>
        <v>3.4285714285714284</v>
      </c>
      <c r="H130" s="1">
        <f>G130*Fórmulas!B$9</f>
        <v>1200</v>
      </c>
      <c r="I130" s="7">
        <f>E130/Fórmulas!E$7</f>
        <v>2</v>
      </c>
      <c r="J130" s="17">
        <f>G130*Fórmulas!B$10</f>
        <v>2057.1428571428569</v>
      </c>
      <c r="K130" s="1">
        <v>1</v>
      </c>
      <c r="L130" s="1">
        <f>((Fórmulas!C$6/Fórmulas!D$6)/0.7)*K130</f>
        <v>2.4489795918367347</v>
      </c>
      <c r="M130" s="1">
        <f>L130*Fórmulas!D$6</f>
        <v>857.14285714285711</v>
      </c>
    </row>
    <row r="131" spans="1:13" x14ac:dyDescent="0.25">
      <c r="A131" s="9" t="s">
        <v>158</v>
      </c>
      <c r="B131" s="26" t="s">
        <v>165</v>
      </c>
      <c r="C131" s="26"/>
      <c r="D131" s="26"/>
      <c r="E131" s="9">
        <v>1.2</v>
      </c>
      <c r="F131" s="9"/>
      <c r="G131" s="1">
        <f>((Fórmulas!C$7/Fórmulas!D$7)/Fórmulas!E$7)*E131</f>
        <v>3.4285714285714284</v>
      </c>
      <c r="H131" s="1">
        <f>G131*Fórmulas!B$9</f>
        <v>1200</v>
      </c>
      <c r="I131" s="7">
        <f>E131/Fórmulas!E$7</f>
        <v>2</v>
      </c>
      <c r="J131" s="17">
        <f>G131*Fórmulas!B$10</f>
        <v>2057.1428571428569</v>
      </c>
      <c r="K131" s="1">
        <v>1</v>
      </c>
      <c r="L131" s="1">
        <f>((Fórmulas!C$6/Fórmulas!D$6)/0.7)*K131</f>
        <v>2.4489795918367347</v>
      </c>
      <c r="M131" s="1">
        <f>L131*Fórmulas!D$6</f>
        <v>857.14285714285711</v>
      </c>
    </row>
    <row r="132" spans="1:13" x14ac:dyDescent="0.25">
      <c r="A132" s="9" t="s">
        <v>158</v>
      </c>
      <c r="B132" s="26" t="s">
        <v>166</v>
      </c>
      <c r="C132" s="26"/>
      <c r="D132" s="26"/>
      <c r="E132" s="9">
        <v>1.8</v>
      </c>
      <c r="F132" s="9"/>
      <c r="G132" s="1">
        <f>((Fórmulas!C$7/Fórmulas!D$7)/Fórmulas!E$7)*E132</f>
        <v>5.1428571428571432</v>
      </c>
      <c r="H132" s="1">
        <f>G132*Fórmulas!B$9</f>
        <v>1800.0000000000002</v>
      </c>
      <c r="I132" s="7">
        <f>E132/Fórmulas!E$7</f>
        <v>3</v>
      </c>
      <c r="J132" s="17">
        <f>G132*Fórmulas!B$10</f>
        <v>3085.7142857142858</v>
      </c>
      <c r="K132" s="1">
        <v>1</v>
      </c>
      <c r="L132" s="1">
        <f>((Fórmulas!C$6/Fórmulas!D$6)/0.7)*K132</f>
        <v>2.4489795918367347</v>
      </c>
      <c r="M132" s="1">
        <f>L132*Fórmulas!D$6</f>
        <v>857.14285714285711</v>
      </c>
    </row>
    <row r="133" spans="1:13" x14ac:dyDescent="0.25">
      <c r="A133" s="9" t="s">
        <v>158</v>
      </c>
      <c r="B133" s="26" t="s">
        <v>167</v>
      </c>
      <c r="C133" s="26"/>
      <c r="D133" s="26"/>
      <c r="E133" s="9">
        <v>1.8</v>
      </c>
      <c r="F133" s="9"/>
      <c r="G133" s="1">
        <f>((Fórmulas!C$7/Fórmulas!D$7)/Fórmulas!E$7)*E133</f>
        <v>5.1428571428571432</v>
      </c>
      <c r="H133" s="1">
        <f>G133*Fórmulas!B$9</f>
        <v>1800.0000000000002</v>
      </c>
      <c r="I133" s="7">
        <f>E133/Fórmulas!E$7</f>
        <v>3</v>
      </c>
      <c r="J133" s="17">
        <f>G133*Fórmulas!B$10</f>
        <v>3085.7142857142858</v>
      </c>
      <c r="K133" s="1">
        <v>1</v>
      </c>
      <c r="L133" s="1">
        <f>((Fórmulas!C$6/Fórmulas!D$6)/0.7)*K133</f>
        <v>2.4489795918367347</v>
      </c>
      <c r="M133" s="1">
        <f>L133*Fórmulas!D$6</f>
        <v>857.14285714285711</v>
      </c>
    </row>
    <row r="134" spans="1:13" x14ac:dyDescent="0.25">
      <c r="A134" s="9" t="s">
        <v>158</v>
      </c>
      <c r="B134" s="26" t="s">
        <v>168</v>
      </c>
      <c r="C134" s="26"/>
      <c r="D134" s="26"/>
      <c r="E134" s="9">
        <v>1.8</v>
      </c>
      <c r="F134" s="9"/>
      <c r="G134" s="1">
        <f>((Fórmulas!C$7/Fórmulas!D$7)/Fórmulas!E$7)*E134</f>
        <v>5.1428571428571432</v>
      </c>
      <c r="H134" s="1">
        <f>G134*Fórmulas!B$9</f>
        <v>1800.0000000000002</v>
      </c>
      <c r="I134" s="7">
        <f>E134/Fórmulas!E$7</f>
        <v>3</v>
      </c>
      <c r="J134" s="17">
        <f>G134*Fórmulas!B$10</f>
        <v>3085.7142857142858</v>
      </c>
      <c r="K134" s="1">
        <v>1</v>
      </c>
      <c r="L134" s="1">
        <f>((Fórmulas!C$6/Fórmulas!D$6)/0.7)*K134</f>
        <v>2.4489795918367347</v>
      </c>
      <c r="M134" s="1">
        <f>L134*Fórmulas!D$6</f>
        <v>857.14285714285711</v>
      </c>
    </row>
    <row r="135" spans="1:13" x14ac:dyDescent="0.25">
      <c r="A135" s="9" t="s">
        <v>158</v>
      </c>
      <c r="B135" s="26" t="s">
        <v>169</v>
      </c>
      <c r="C135" s="26"/>
      <c r="D135" s="26"/>
      <c r="E135" s="9">
        <v>1.8</v>
      </c>
      <c r="F135" s="9"/>
      <c r="G135" s="1">
        <f>((Fórmulas!C$7/Fórmulas!D$7)/Fórmulas!E$7)*E135</f>
        <v>5.1428571428571432</v>
      </c>
      <c r="H135" s="1">
        <f>G135*Fórmulas!B$9</f>
        <v>1800.0000000000002</v>
      </c>
      <c r="I135" s="7">
        <f>E135/Fórmulas!E$7</f>
        <v>3</v>
      </c>
      <c r="J135" s="17">
        <f>G135*Fórmulas!B$10</f>
        <v>3085.7142857142858</v>
      </c>
      <c r="K135" s="1">
        <v>1</v>
      </c>
      <c r="L135" s="1">
        <f>((Fórmulas!C$6/Fórmulas!D$6)/0.7)*K135</f>
        <v>2.4489795918367347</v>
      </c>
      <c r="M135" s="1">
        <f>L135*Fórmulas!D$6</f>
        <v>857.14285714285711</v>
      </c>
    </row>
    <row r="136" spans="1:13" x14ac:dyDescent="0.25">
      <c r="A136" s="9" t="s">
        <v>158</v>
      </c>
      <c r="B136" s="25" t="s">
        <v>174</v>
      </c>
      <c r="C136" s="25"/>
      <c r="D136" s="25"/>
      <c r="E136" s="9">
        <v>6</v>
      </c>
      <c r="F136" s="9"/>
      <c r="G136" s="1">
        <f>((Fórmulas!C$7/Fórmulas!D$7)/Fórmulas!E$7)*E136</f>
        <v>17.142857142857142</v>
      </c>
      <c r="H136" s="1">
        <f>G136*Fórmulas!B$9</f>
        <v>6000</v>
      </c>
      <c r="I136" s="7">
        <f>E136/Fórmulas!E$7</f>
        <v>10</v>
      </c>
      <c r="J136" s="17">
        <f>G136*Fórmulas!B$10</f>
        <v>10285.714285714286</v>
      </c>
      <c r="K136" s="1">
        <v>1</v>
      </c>
      <c r="L136" s="1">
        <f>((Fórmulas!C$6/Fórmulas!D$6)/0.7)*K136</f>
        <v>2.4489795918367347</v>
      </c>
      <c r="M136" s="1">
        <f>L136*Fórmulas!D$6</f>
        <v>857.14285714285711</v>
      </c>
    </row>
    <row r="137" spans="1:13" x14ac:dyDescent="0.25">
      <c r="A137" s="9" t="s">
        <v>158</v>
      </c>
      <c r="B137" s="25" t="s">
        <v>175</v>
      </c>
      <c r="C137" s="25"/>
      <c r="D137" s="25"/>
      <c r="E137" s="9">
        <v>6</v>
      </c>
      <c r="F137" s="9"/>
      <c r="G137" s="1">
        <f>((Fórmulas!C$7/Fórmulas!D$7)/Fórmulas!E$7)*E137</f>
        <v>17.142857142857142</v>
      </c>
      <c r="H137" s="1">
        <f>G137*Fórmulas!B$9</f>
        <v>6000</v>
      </c>
      <c r="I137" s="7">
        <f>E137/Fórmulas!E$7</f>
        <v>10</v>
      </c>
      <c r="J137" s="17">
        <f>G137*Fórmulas!B$10</f>
        <v>10285.714285714286</v>
      </c>
      <c r="K137" s="1">
        <v>1</v>
      </c>
      <c r="L137" s="1">
        <f>((Fórmulas!C$6/Fórmulas!D$6)/0.7)*K137</f>
        <v>2.4489795918367347</v>
      </c>
      <c r="M137" s="1">
        <f>L137*Fórmulas!D$6</f>
        <v>857.14285714285711</v>
      </c>
    </row>
    <row r="138" spans="1:13" x14ac:dyDescent="0.25">
      <c r="A138" s="9" t="s">
        <v>158</v>
      </c>
      <c r="B138" s="25" t="s">
        <v>176</v>
      </c>
      <c r="C138" s="25"/>
      <c r="D138" s="25"/>
      <c r="E138" s="9">
        <v>6</v>
      </c>
      <c r="F138" s="9"/>
      <c r="G138" s="1">
        <f>((Fórmulas!C$7/Fórmulas!D$7)/Fórmulas!E$7)*E138</f>
        <v>17.142857142857142</v>
      </c>
      <c r="H138" s="1">
        <f>G138*Fórmulas!B$9</f>
        <v>6000</v>
      </c>
      <c r="I138" s="7">
        <f>E138/Fórmulas!E$7</f>
        <v>10</v>
      </c>
      <c r="J138" s="17">
        <f>G138*Fórmulas!B$10</f>
        <v>10285.714285714286</v>
      </c>
      <c r="K138" s="1">
        <v>1</v>
      </c>
      <c r="L138" s="1">
        <f>((Fórmulas!C$6/Fórmulas!D$6)/0.7)*K138</f>
        <v>2.4489795918367347</v>
      </c>
      <c r="M138" s="1">
        <f>L138*Fórmulas!D$6</f>
        <v>857.14285714285711</v>
      </c>
    </row>
    <row r="139" spans="1:13" x14ac:dyDescent="0.25">
      <c r="A139" s="9" t="s">
        <v>158</v>
      </c>
      <c r="B139" s="25" t="s">
        <v>177</v>
      </c>
      <c r="C139" s="25"/>
      <c r="D139" s="25"/>
      <c r="E139" s="9">
        <v>6</v>
      </c>
      <c r="F139" s="9"/>
      <c r="G139" s="1">
        <f>((Fórmulas!C$7/Fórmulas!D$7)/Fórmulas!E$7)*E139</f>
        <v>17.142857142857142</v>
      </c>
      <c r="H139" s="1">
        <f>G139*Fórmulas!B$9</f>
        <v>6000</v>
      </c>
      <c r="I139" s="7">
        <f>E139/Fórmulas!E$7</f>
        <v>10</v>
      </c>
      <c r="J139" s="17">
        <f>G139*Fórmulas!B$10</f>
        <v>10285.714285714286</v>
      </c>
      <c r="K139" s="1">
        <v>1</v>
      </c>
      <c r="L139" s="1">
        <f>((Fórmulas!C$6/Fórmulas!D$6)/0.7)*K139</f>
        <v>2.4489795918367347</v>
      </c>
      <c r="M139" s="1">
        <f>L139*Fórmulas!D$6</f>
        <v>857.14285714285711</v>
      </c>
    </row>
    <row r="140" spans="1:13" x14ac:dyDescent="0.25">
      <c r="A140" s="9" t="s">
        <v>158</v>
      </c>
      <c r="B140" s="25" t="s">
        <v>170</v>
      </c>
      <c r="C140" s="25"/>
      <c r="D140" s="25"/>
      <c r="E140" s="9">
        <v>6</v>
      </c>
      <c r="F140" s="9"/>
      <c r="G140" s="1">
        <f>((Fórmulas!C$7/Fórmulas!D$7)/Fórmulas!E$7)*E140</f>
        <v>17.142857142857142</v>
      </c>
      <c r="H140" s="1">
        <f>G140*Fórmulas!B$9</f>
        <v>6000</v>
      </c>
      <c r="I140" s="7">
        <f>E140/Fórmulas!E$7</f>
        <v>10</v>
      </c>
      <c r="J140" s="17">
        <f>G140*Fórmulas!B$10</f>
        <v>10285.714285714286</v>
      </c>
      <c r="K140" s="1">
        <v>1</v>
      </c>
      <c r="L140" s="1">
        <f>((Fórmulas!C$6/Fórmulas!D$6)/0.7)*K140</f>
        <v>2.4489795918367347</v>
      </c>
      <c r="M140" s="1">
        <f>L140*Fórmulas!D$6</f>
        <v>857.14285714285711</v>
      </c>
    </row>
    <row r="141" spans="1:13" x14ac:dyDescent="0.25">
      <c r="A141" s="9" t="s">
        <v>158</v>
      </c>
      <c r="B141" s="25" t="s">
        <v>171</v>
      </c>
      <c r="C141" s="25"/>
      <c r="D141" s="25"/>
      <c r="E141" s="9">
        <v>6</v>
      </c>
      <c r="F141" s="9"/>
      <c r="G141" s="1">
        <f>((Fórmulas!C$7/Fórmulas!D$7)/Fórmulas!E$7)*E141</f>
        <v>17.142857142857142</v>
      </c>
      <c r="H141" s="1">
        <f>G141*Fórmulas!B$9</f>
        <v>6000</v>
      </c>
      <c r="I141" s="7">
        <f>E141/Fórmulas!E$7</f>
        <v>10</v>
      </c>
      <c r="J141" s="17">
        <f>G141*Fórmulas!B$10</f>
        <v>10285.714285714286</v>
      </c>
      <c r="K141" s="1">
        <v>1</v>
      </c>
      <c r="L141" s="1">
        <f>((Fórmulas!C$6/Fórmulas!D$6)/0.7)*K141</f>
        <v>2.4489795918367347</v>
      </c>
      <c r="M141" s="1">
        <f>L141*Fórmulas!D$6</f>
        <v>857.14285714285711</v>
      </c>
    </row>
    <row r="142" spans="1:13" x14ac:dyDescent="0.25">
      <c r="A142" s="9" t="s">
        <v>158</v>
      </c>
      <c r="B142" s="25" t="s">
        <v>172</v>
      </c>
      <c r="C142" s="25"/>
      <c r="D142" s="25"/>
      <c r="E142" s="9">
        <v>6</v>
      </c>
      <c r="F142" s="9"/>
      <c r="G142" s="1">
        <f>((Fórmulas!C$7/Fórmulas!D$7)/Fórmulas!E$7)*E142</f>
        <v>17.142857142857142</v>
      </c>
      <c r="H142" s="1">
        <f>G142*Fórmulas!B$9</f>
        <v>6000</v>
      </c>
      <c r="I142" s="7">
        <f>E142/Fórmulas!E$7</f>
        <v>10</v>
      </c>
      <c r="J142" s="17">
        <f>G142*Fórmulas!B$10</f>
        <v>10285.714285714286</v>
      </c>
      <c r="K142" s="1">
        <v>1</v>
      </c>
      <c r="L142" s="1">
        <f>((Fórmulas!C$6/Fórmulas!D$6)/0.7)*K142</f>
        <v>2.4489795918367347</v>
      </c>
      <c r="M142" s="1">
        <f>L142*Fórmulas!D$6</f>
        <v>857.14285714285711</v>
      </c>
    </row>
    <row r="143" spans="1:13" x14ac:dyDescent="0.25">
      <c r="A143" s="9" t="s">
        <v>158</v>
      </c>
      <c r="B143" s="25" t="s">
        <v>173</v>
      </c>
      <c r="C143" s="25"/>
      <c r="D143" s="25"/>
      <c r="E143" s="9">
        <v>6</v>
      </c>
      <c r="F143" s="9"/>
      <c r="G143" s="1">
        <f>((Fórmulas!C$7/Fórmulas!D$7)/Fórmulas!E$7)*E143</f>
        <v>17.142857142857142</v>
      </c>
      <c r="H143" s="1">
        <f>G143*Fórmulas!B$9</f>
        <v>6000</v>
      </c>
      <c r="I143" s="7">
        <f>E143/Fórmulas!E$7</f>
        <v>10</v>
      </c>
      <c r="J143" s="17">
        <f>G143*Fórmulas!B$10</f>
        <v>10285.714285714286</v>
      </c>
      <c r="K143" s="1">
        <v>1</v>
      </c>
      <c r="L143" s="1">
        <f>((Fórmulas!C$6/Fórmulas!D$6)/0.7)*K143</f>
        <v>2.4489795918367347</v>
      </c>
      <c r="M143" s="1">
        <f>L143*Fórmulas!D$6</f>
        <v>857.14285714285711</v>
      </c>
    </row>
    <row r="144" spans="1:13" x14ac:dyDescent="0.25">
      <c r="A144" s="9" t="s">
        <v>178</v>
      </c>
      <c r="B144" s="26" t="s">
        <v>259</v>
      </c>
      <c r="C144" s="26"/>
      <c r="D144" s="26"/>
      <c r="E144" s="9">
        <v>0.9</v>
      </c>
      <c r="F144" s="9"/>
      <c r="G144" s="1">
        <f>((Fórmulas!C$7/Fórmulas!D$7)/Fórmulas!E$7)*E144</f>
        <v>2.5714285714285716</v>
      </c>
      <c r="H144" s="1">
        <f>G144*Fórmulas!B$9</f>
        <v>900.00000000000011</v>
      </c>
      <c r="I144" s="7">
        <f>E144/Fórmulas!E$7</f>
        <v>1.5</v>
      </c>
      <c r="J144" s="17">
        <f>G144*Fórmulas!B$10</f>
        <v>1542.8571428571429</v>
      </c>
      <c r="K144" s="1">
        <v>1</v>
      </c>
      <c r="L144" s="1">
        <f>((Fórmulas!C$6/Fórmulas!D$6)/0.7)*K144</f>
        <v>2.4489795918367347</v>
      </c>
      <c r="M144" s="1">
        <f>L144*Fórmulas!D$6</f>
        <v>857.14285714285711</v>
      </c>
    </row>
    <row r="145" spans="1:13" x14ac:dyDescent="0.25">
      <c r="A145" s="9" t="s">
        <v>178</v>
      </c>
      <c r="B145" s="25" t="s">
        <v>260</v>
      </c>
      <c r="C145" s="25"/>
      <c r="D145" s="25"/>
      <c r="E145" s="9">
        <v>0.9</v>
      </c>
      <c r="F145" s="9"/>
      <c r="G145" s="1">
        <f>((Fórmulas!C$7/Fórmulas!D$7)/Fórmulas!E$7)*E145</f>
        <v>2.5714285714285716</v>
      </c>
      <c r="H145" s="1">
        <f>G145*Fórmulas!B$9</f>
        <v>900.00000000000011</v>
      </c>
      <c r="I145" s="7">
        <f>E145/Fórmulas!E$7</f>
        <v>1.5</v>
      </c>
      <c r="J145" s="17">
        <f>G145*Fórmulas!B$10</f>
        <v>1542.8571428571429</v>
      </c>
      <c r="K145" s="1">
        <v>1</v>
      </c>
      <c r="L145" s="1">
        <f>((Fórmulas!C$6/Fórmulas!D$6)/0.7)*K145</f>
        <v>2.4489795918367347</v>
      </c>
      <c r="M145" s="1">
        <f>L145*Fórmulas!D$6</f>
        <v>857.14285714285711</v>
      </c>
    </row>
    <row r="146" spans="1:13" x14ac:dyDescent="0.25">
      <c r="A146" s="9" t="s">
        <v>178</v>
      </c>
      <c r="B146" s="25" t="s">
        <v>280</v>
      </c>
      <c r="C146" s="25"/>
      <c r="D146" s="25"/>
      <c r="E146" s="9">
        <v>0.9</v>
      </c>
      <c r="F146" s="9"/>
      <c r="G146" s="1">
        <f>((Fórmulas!C$7/Fórmulas!D$7)/Fórmulas!E$7)*E146</f>
        <v>2.5714285714285716</v>
      </c>
      <c r="H146" s="1">
        <f>G146*Fórmulas!B$9</f>
        <v>900.00000000000011</v>
      </c>
      <c r="I146" s="7">
        <f>E146/Fórmulas!E$7</f>
        <v>1.5</v>
      </c>
      <c r="J146" s="17">
        <f>G146*Fórmulas!B$10</f>
        <v>1542.8571428571429</v>
      </c>
      <c r="K146" s="1">
        <v>1</v>
      </c>
      <c r="L146" s="1">
        <f>((Fórmulas!C$6/Fórmulas!D$6)/0.7)*K146</f>
        <v>2.4489795918367347</v>
      </c>
      <c r="M146" s="1">
        <f>L146*Fórmulas!D$6</f>
        <v>857.14285714285711</v>
      </c>
    </row>
    <row r="147" spans="1:13" x14ac:dyDescent="0.25">
      <c r="A147" s="9" t="s">
        <v>178</v>
      </c>
      <c r="B147" s="25" t="s">
        <v>279</v>
      </c>
      <c r="C147" s="25"/>
      <c r="D147" s="25"/>
      <c r="E147" s="9">
        <v>0.9</v>
      </c>
      <c r="F147" s="9"/>
      <c r="G147" s="1">
        <f>((Fórmulas!C$7/Fórmulas!D$7)/Fórmulas!E$7)*E147</f>
        <v>2.5714285714285716</v>
      </c>
      <c r="H147" s="1">
        <f>G147*Fórmulas!B$9</f>
        <v>900.00000000000011</v>
      </c>
      <c r="I147" s="7">
        <f>E147/Fórmulas!E$7</f>
        <v>1.5</v>
      </c>
      <c r="J147" s="17">
        <f>G147*Fórmulas!B$10</f>
        <v>1542.8571428571429</v>
      </c>
      <c r="K147" s="1">
        <v>1</v>
      </c>
      <c r="L147" s="1">
        <f>((Fórmulas!C$6/Fórmulas!D$6)/0.7)*K147</f>
        <v>2.4489795918367347</v>
      </c>
      <c r="M147" s="1">
        <f>L147*Fórmulas!D$6</f>
        <v>857.14285714285711</v>
      </c>
    </row>
    <row r="148" spans="1:13" x14ac:dyDescent="0.25">
      <c r="A148" s="9" t="s">
        <v>178</v>
      </c>
      <c r="B148" s="25" t="s">
        <v>278</v>
      </c>
      <c r="C148" s="25"/>
      <c r="D148" s="25"/>
      <c r="E148" s="9">
        <v>1.2</v>
      </c>
      <c r="F148" s="9"/>
      <c r="G148" s="1">
        <f>((Fórmulas!C$7/Fórmulas!D$7)/Fórmulas!E$7)*E148</f>
        <v>3.4285714285714284</v>
      </c>
      <c r="H148" s="1">
        <f>G148*Fórmulas!B$9</f>
        <v>1200</v>
      </c>
      <c r="I148" s="7">
        <f>E148/Fórmulas!E$7</f>
        <v>2</v>
      </c>
      <c r="J148" s="17">
        <f>G148*Fórmulas!B$10</f>
        <v>2057.1428571428569</v>
      </c>
      <c r="K148" s="1">
        <v>1</v>
      </c>
      <c r="L148" s="1">
        <f>((Fórmulas!C$6/Fórmulas!D$6)/0.7)*K148</f>
        <v>2.4489795918367347</v>
      </c>
      <c r="M148" s="1">
        <f>L148*Fórmulas!D$6</f>
        <v>857.14285714285711</v>
      </c>
    </row>
    <row r="149" spans="1:13" x14ac:dyDescent="0.25">
      <c r="A149" s="9" t="s">
        <v>178</v>
      </c>
      <c r="B149" s="25" t="s">
        <v>277</v>
      </c>
      <c r="C149" s="25"/>
      <c r="D149" s="25"/>
      <c r="E149" s="9">
        <v>1.2</v>
      </c>
      <c r="F149" s="9"/>
      <c r="G149" s="1">
        <f>((Fórmulas!C$7/Fórmulas!D$7)/Fórmulas!E$7)*E149</f>
        <v>3.4285714285714284</v>
      </c>
      <c r="H149" s="1">
        <f>G149*Fórmulas!B$9</f>
        <v>1200</v>
      </c>
      <c r="I149" s="7">
        <f>E149/Fórmulas!E$7</f>
        <v>2</v>
      </c>
      <c r="J149" s="17">
        <f>G149*Fórmulas!B$10</f>
        <v>2057.1428571428569</v>
      </c>
      <c r="K149" s="1">
        <v>1</v>
      </c>
      <c r="L149" s="1">
        <f>((Fórmulas!C$6/Fórmulas!D$6)/0.7)*K149</f>
        <v>2.4489795918367347</v>
      </c>
      <c r="M149" s="1">
        <f>L149*Fórmulas!D$6</f>
        <v>857.14285714285711</v>
      </c>
    </row>
    <row r="150" spans="1:13" x14ac:dyDescent="0.25">
      <c r="A150" s="9" t="s">
        <v>178</v>
      </c>
      <c r="B150" s="31" t="s">
        <v>276</v>
      </c>
      <c r="C150" s="32"/>
      <c r="D150" s="32"/>
      <c r="E150" s="9">
        <v>0.9</v>
      </c>
      <c r="F150" s="9"/>
      <c r="G150" s="1">
        <f>((Fórmulas!C$7/Fórmulas!D$7)/Fórmulas!E$7)*E150</f>
        <v>2.5714285714285716</v>
      </c>
      <c r="H150" s="1">
        <f>G150*Fórmulas!B$9</f>
        <v>900.00000000000011</v>
      </c>
      <c r="I150" s="7">
        <f>E150/Fórmulas!E$7</f>
        <v>1.5</v>
      </c>
      <c r="J150" s="17">
        <f>G150*Fórmulas!B$10</f>
        <v>1542.8571428571429</v>
      </c>
      <c r="K150" s="1">
        <v>1</v>
      </c>
      <c r="L150" s="1">
        <f>((Fórmulas!C$6/Fórmulas!D$6)/0.7)*K150</f>
        <v>2.4489795918367347</v>
      </c>
      <c r="M150" s="1">
        <f>L150*Fórmulas!D$6</f>
        <v>857.14285714285711</v>
      </c>
    </row>
    <row r="151" spans="1:13" x14ac:dyDescent="0.25">
      <c r="A151" s="9" t="s">
        <v>178</v>
      </c>
      <c r="B151" s="31" t="s">
        <v>275</v>
      </c>
      <c r="C151" s="25"/>
      <c r="D151" s="25"/>
      <c r="E151" s="9">
        <v>0.9</v>
      </c>
      <c r="F151" s="9"/>
      <c r="G151" s="1">
        <f>((Fórmulas!C$7/Fórmulas!D$7)/Fórmulas!E$7)*E151</f>
        <v>2.5714285714285716</v>
      </c>
      <c r="H151" s="1">
        <f>G151*Fórmulas!B$9</f>
        <v>900.00000000000011</v>
      </c>
      <c r="I151" s="7">
        <f>E151/Fórmulas!E$7</f>
        <v>1.5</v>
      </c>
      <c r="J151" s="17">
        <f>G151*Fórmulas!B$10</f>
        <v>1542.8571428571429</v>
      </c>
      <c r="K151" s="1">
        <v>1</v>
      </c>
      <c r="L151" s="1">
        <f>((Fórmulas!C$6/Fórmulas!D$6)/0.7)*K151</f>
        <v>2.4489795918367347</v>
      </c>
      <c r="M151" s="1">
        <f>L151*Fórmulas!D$6</f>
        <v>857.14285714285711</v>
      </c>
    </row>
    <row r="152" spans="1:13" x14ac:dyDescent="0.25">
      <c r="A152" s="9" t="s">
        <v>178</v>
      </c>
      <c r="B152" s="33" t="s">
        <v>274</v>
      </c>
      <c r="C152" s="33"/>
      <c r="D152" s="33"/>
      <c r="E152" s="9">
        <v>0.9</v>
      </c>
      <c r="F152" s="9"/>
      <c r="G152" s="1">
        <f>((Fórmulas!C$7/Fórmulas!D$7)/Fórmulas!E$7)*E152</f>
        <v>2.5714285714285716</v>
      </c>
      <c r="H152" s="1">
        <f>G152*Fórmulas!B$9</f>
        <v>900.00000000000011</v>
      </c>
      <c r="I152" s="7">
        <f>E152/Fórmulas!E$7</f>
        <v>1.5</v>
      </c>
      <c r="J152" s="17">
        <f>G152*Fórmulas!B$10</f>
        <v>1542.8571428571429</v>
      </c>
      <c r="K152" s="1">
        <v>1</v>
      </c>
      <c r="L152" s="1">
        <f>((Fórmulas!C$6/Fórmulas!D$6)/0.7)*K152</f>
        <v>2.4489795918367347</v>
      </c>
      <c r="M152" s="1">
        <f>L152*Fórmulas!D$6</f>
        <v>857.14285714285711</v>
      </c>
    </row>
    <row r="153" spans="1:13" x14ac:dyDescent="0.25">
      <c r="A153" s="9" t="s">
        <v>178</v>
      </c>
      <c r="B153" s="25" t="s">
        <v>273</v>
      </c>
      <c r="C153" s="25"/>
      <c r="D153" s="25"/>
      <c r="E153" s="9">
        <v>0.9</v>
      </c>
      <c r="F153" s="9"/>
      <c r="G153" s="1">
        <f>((Fórmulas!C$7/Fórmulas!D$7)/Fórmulas!E$7)*E153</f>
        <v>2.5714285714285716</v>
      </c>
      <c r="H153" s="1">
        <f>G153*Fórmulas!B$9</f>
        <v>900.00000000000011</v>
      </c>
      <c r="I153" s="7">
        <f>E153/Fórmulas!E$7</f>
        <v>1.5</v>
      </c>
      <c r="J153" s="17">
        <f>G153*Fórmulas!B$10</f>
        <v>1542.8571428571429</v>
      </c>
      <c r="K153" s="1">
        <v>1</v>
      </c>
      <c r="L153" s="1">
        <f>((Fórmulas!C$6/Fórmulas!D$6)/0.7)*K153</f>
        <v>2.4489795918367347</v>
      </c>
      <c r="M153" s="1">
        <f>L153*Fórmulas!D$6</f>
        <v>857.14285714285711</v>
      </c>
    </row>
    <row r="154" spans="1:13" x14ac:dyDescent="0.25">
      <c r="A154" s="9" t="s">
        <v>178</v>
      </c>
      <c r="B154" s="25" t="s">
        <v>281</v>
      </c>
      <c r="C154" s="25"/>
      <c r="D154" s="25"/>
      <c r="E154" s="9">
        <v>0.9</v>
      </c>
      <c r="F154" s="9"/>
      <c r="G154" s="1">
        <f>((Fórmulas!C$7/Fórmulas!D$7)/Fórmulas!E$7)*E154</f>
        <v>2.5714285714285716</v>
      </c>
      <c r="H154" s="1">
        <f>G154*Fórmulas!B$9</f>
        <v>900.00000000000011</v>
      </c>
      <c r="I154" s="7">
        <f>E154/Fórmulas!E$7</f>
        <v>1.5</v>
      </c>
      <c r="J154" s="17">
        <f>G154*Fórmulas!B$10</f>
        <v>1542.8571428571429</v>
      </c>
      <c r="K154" s="1">
        <v>1</v>
      </c>
      <c r="L154" s="1">
        <f>((Fórmulas!C$6/Fórmulas!D$6)/0.7)*K154</f>
        <v>2.4489795918367347</v>
      </c>
      <c r="M154" s="1">
        <f>L154*Fórmulas!D$6</f>
        <v>857.14285714285711</v>
      </c>
    </row>
    <row r="155" spans="1:13" x14ac:dyDescent="0.25">
      <c r="A155" s="9" t="s">
        <v>178</v>
      </c>
      <c r="B155" s="25" t="s">
        <v>282</v>
      </c>
      <c r="C155" s="25"/>
      <c r="D155" s="25"/>
      <c r="E155" s="9">
        <v>0.9</v>
      </c>
      <c r="F155" s="9"/>
      <c r="G155" s="1">
        <f>((Fórmulas!C$7/Fórmulas!D$7)/Fórmulas!E$7)*E155</f>
        <v>2.5714285714285716</v>
      </c>
      <c r="H155" s="1">
        <f>G155*Fórmulas!B$9</f>
        <v>900.00000000000011</v>
      </c>
      <c r="I155" s="7">
        <f>E155/Fórmulas!E$7</f>
        <v>1.5</v>
      </c>
      <c r="J155" s="17">
        <f>G155*Fórmulas!B$10</f>
        <v>1542.8571428571429</v>
      </c>
      <c r="K155" s="1">
        <v>1</v>
      </c>
      <c r="L155" s="1">
        <f>((Fórmulas!C$6/Fórmulas!D$6)/0.7)*K155</f>
        <v>2.4489795918367347</v>
      </c>
      <c r="M155" s="1">
        <f>L155*Fórmulas!D$6</f>
        <v>857.14285714285711</v>
      </c>
    </row>
    <row r="156" spans="1:13" x14ac:dyDescent="0.25">
      <c r="A156" s="9" t="s">
        <v>178</v>
      </c>
      <c r="B156" s="25" t="s">
        <v>272</v>
      </c>
      <c r="C156" s="25"/>
      <c r="D156" s="25"/>
      <c r="E156" s="9">
        <v>1.2</v>
      </c>
      <c r="F156" s="9"/>
      <c r="G156" s="1">
        <f>((Fórmulas!C$7/Fórmulas!D$7)/Fórmulas!E$7)*E156</f>
        <v>3.4285714285714284</v>
      </c>
      <c r="H156" s="1">
        <f>G156*Fórmulas!B$9</f>
        <v>1200</v>
      </c>
      <c r="I156" s="7">
        <f>E156/Fórmulas!E$7</f>
        <v>2</v>
      </c>
      <c r="J156" s="17">
        <f>G156*Fórmulas!B$10</f>
        <v>2057.1428571428569</v>
      </c>
      <c r="K156" s="1">
        <v>1</v>
      </c>
      <c r="L156" s="1">
        <f>((Fórmulas!C$6/Fórmulas!D$6)/0.7)*K156</f>
        <v>2.4489795918367347</v>
      </c>
      <c r="M156" s="1">
        <f>L156*Fórmulas!D$6</f>
        <v>857.14285714285711</v>
      </c>
    </row>
    <row r="157" spans="1:13" x14ac:dyDescent="0.25">
      <c r="A157" s="9" t="s">
        <v>178</v>
      </c>
      <c r="B157" s="25" t="s">
        <v>271</v>
      </c>
      <c r="C157" s="25"/>
      <c r="D157" s="25"/>
      <c r="E157" s="9">
        <v>1.8</v>
      </c>
      <c r="F157" s="9"/>
      <c r="G157" s="1">
        <f>((Fórmulas!C$7/Fórmulas!D$7)/Fórmulas!E$7)*E157</f>
        <v>5.1428571428571432</v>
      </c>
      <c r="H157" s="1">
        <f>G157*Fórmulas!B$9</f>
        <v>1800.0000000000002</v>
      </c>
      <c r="I157" s="7">
        <f>E157/Fórmulas!E$7</f>
        <v>3</v>
      </c>
      <c r="J157" s="17">
        <f>G157*Fórmulas!B$10</f>
        <v>3085.7142857142858</v>
      </c>
      <c r="K157" s="1">
        <v>1</v>
      </c>
      <c r="L157" s="1">
        <f>((Fórmulas!C$6/Fórmulas!D$6)/0.7)*K157</f>
        <v>2.4489795918367347</v>
      </c>
      <c r="M157" s="1">
        <f>L157*Fórmulas!D$6</f>
        <v>857.14285714285711</v>
      </c>
    </row>
    <row r="158" spans="1:13" x14ac:dyDescent="0.25">
      <c r="A158" s="9" t="s">
        <v>178</v>
      </c>
      <c r="B158" s="25" t="s">
        <v>270</v>
      </c>
      <c r="C158" s="25"/>
      <c r="D158" s="25"/>
      <c r="E158" s="9">
        <v>0.9</v>
      </c>
      <c r="F158" s="9"/>
      <c r="G158" s="1">
        <f>((Fórmulas!C$7/Fórmulas!D$7)/Fórmulas!E$7)*E158</f>
        <v>2.5714285714285716</v>
      </c>
      <c r="H158" s="1">
        <f>G158*Fórmulas!B$9</f>
        <v>900.00000000000011</v>
      </c>
      <c r="I158" s="7">
        <f>E158/Fórmulas!E$7</f>
        <v>1.5</v>
      </c>
      <c r="J158" s="17">
        <f>G158*Fórmulas!B$10</f>
        <v>1542.8571428571429</v>
      </c>
      <c r="K158" s="1">
        <v>1</v>
      </c>
      <c r="L158" s="1">
        <f>((Fórmulas!C$6/Fórmulas!D$6)/0.7)*K158</f>
        <v>2.4489795918367347</v>
      </c>
      <c r="M158" s="1">
        <f>L158*Fórmulas!D$6</f>
        <v>857.14285714285711</v>
      </c>
    </row>
    <row r="159" spans="1:13" x14ac:dyDescent="0.25">
      <c r="A159" s="9" t="s">
        <v>178</v>
      </c>
      <c r="B159" s="25" t="s">
        <v>269</v>
      </c>
      <c r="C159" s="25"/>
      <c r="D159" s="25"/>
      <c r="E159" s="9">
        <v>0.9</v>
      </c>
      <c r="F159" s="9"/>
      <c r="G159" s="1">
        <f>((Fórmulas!C$7/Fórmulas!D$7)/Fórmulas!E$7)*E159</f>
        <v>2.5714285714285716</v>
      </c>
      <c r="H159" s="1">
        <f>G159*Fórmulas!B$9</f>
        <v>900.00000000000011</v>
      </c>
      <c r="I159" s="7">
        <f>E159/Fórmulas!E$7</f>
        <v>1.5</v>
      </c>
      <c r="J159" s="17">
        <f>G159*Fórmulas!B$10</f>
        <v>1542.8571428571429</v>
      </c>
      <c r="K159" s="1">
        <v>1</v>
      </c>
      <c r="L159" s="1">
        <f>((Fórmulas!C$6/Fórmulas!D$6)/0.7)*K159</f>
        <v>2.4489795918367347</v>
      </c>
      <c r="M159" s="1">
        <f>L159*Fórmulas!D$6</f>
        <v>857.14285714285711</v>
      </c>
    </row>
    <row r="160" spans="1:13" x14ac:dyDescent="0.25">
      <c r="A160" s="9" t="s">
        <v>178</v>
      </c>
      <c r="B160" s="25" t="s">
        <v>268</v>
      </c>
      <c r="C160" s="25"/>
      <c r="D160" s="25"/>
      <c r="E160" s="9">
        <v>0.9</v>
      </c>
      <c r="F160" s="9"/>
      <c r="G160" s="1">
        <f>((Fórmulas!C$7/Fórmulas!D$7)/Fórmulas!E$7)*E160</f>
        <v>2.5714285714285716</v>
      </c>
      <c r="H160" s="1">
        <f>G160*Fórmulas!B$9</f>
        <v>900.00000000000011</v>
      </c>
      <c r="I160" s="7">
        <f>E160/Fórmulas!E$7</f>
        <v>1.5</v>
      </c>
      <c r="J160" s="17">
        <f>G160*Fórmulas!B$10</f>
        <v>1542.8571428571429</v>
      </c>
      <c r="K160" s="1">
        <v>1</v>
      </c>
      <c r="L160" s="1">
        <f>((Fórmulas!C$6/Fórmulas!D$6)/0.7)*K160</f>
        <v>2.4489795918367347</v>
      </c>
      <c r="M160" s="1">
        <f>L160*Fórmulas!D$6</f>
        <v>857.14285714285711</v>
      </c>
    </row>
    <row r="161" spans="1:13" x14ac:dyDescent="0.25">
      <c r="A161" s="9" t="s">
        <v>178</v>
      </c>
      <c r="B161" s="25" t="s">
        <v>267</v>
      </c>
      <c r="C161" s="25"/>
      <c r="D161" s="25"/>
      <c r="E161" s="9">
        <v>1.8</v>
      </c>
      <c r="F161" s="9"/>
      <c r="G161" s="1">
        <f>((Fórmulas!C$7/Fórmulas!D$7)/Fórmulas!E$7)*E161</f>
        <v>5.1428571428571432</v>
      </c>
      <c r="H161" s="1">
        <f>G161*Fórmulas!B$9</f>
        <v>1800.0000000000002</v>
      </c>
      <c r="I161" s="7">
        <f>E161/Fórmulas!E$7</f>
        <v>3</v>
      </c>
      <c r="J161" s="17">
        <f>G161*Fórmulas!B$10</f>
        <v>3085.7142857142858</v>
      </c>
      <c r="K161" s="1">
        <v>1</v>
      </c>
      <c r="L161" s="1">
        <f>((Fórmulas!C$6/Fórmulas!D$6)/0.7)*K161</f>
        <v>2.4489795918367347</v>
      </c>
      <c r="M161" s="1">
        <f>L161*Fórmulas!D$6</f>
        <v>857.14285714285711</v>
      </c>
    </row>
    <row r="162" spans="1:13" x14ac:dyDescent="0.25">
      <c r="A162" s="9" t="s">
        <v>178</v>
      </c>
      <c r="B162" s="25" t="s">
        <v>266</v>
      </c>
      <c r="C162" s="25"/>
      <c r="D162" s="25"/>
      <c r="E162" s="9">
        <v>2.4</v>
      </c>
      <c r="F162" s="9"/>
      <c r="G162" s="1">
        <f>((Fórmulas!C$7/Fórmulas!D$7)/Fórmulas!E$7)*E162</f>
        <v>6.8571428571428568</v>
      </c>
      <c r="H162" s="1">
        <f>G162*Fórmulas!B$9</f>
        <v>2400</v>
      </c>
      <c r="I162" s="7">
        <f>E162/Fórmulas!E$7</f>
        <v>4</v>
      </c>
      <c r="J162" s="17">
        <f>G162*Fórmulas!B$10</f>
        <v>4114.2857142857138</v>
      </c>
      <c r="K162" s="1">
        <v>1</v>
      </c>
      <c r="L162" s="1">
        <f>((Fórmulas!C$6/Fórmulas!D$6)/0.7)*K162</f>
        <v>2.4489795918367347</v>
      </c>
      <c r="M162" s="1">
        <f>L162*Fórmulas!D$6</f>
        <v>857.14285714285711</v>
      </c>
    </row>
    <row r="163" spans="1:13" x14ac:dyDescent="0.25">
      <c r="A163" s="9" t="s">
        <v>178</v>
      </c>
      <c r="B163" s="25" t="s">
        <v>265</v>
      </c>
      <c r="C163" s="25"/>
      <c r="D163" s="25"/>
      <c r="E163" s="9">
        <v>3</v>
      </c>
      <c r="F163" s="9"/>
      <c r="G163" s="1">
        <f>((Fórmulas!C$7/Fórmulas!D$7)/Fórmulas!E$7)*E163</f>
        <v>8.5714285714285712</v>
      </c>
      <c r="H163" s="1">
        <f>G163*Fórmulas!B$9</f>
        <v>3000</v>
      </c>
      <c r="I163" s="7">
        <f>E163/Fórmulas!E$7</f>
        <v>5</v>
      </c>
      <c r="J163" s="17">
        <f>G163*Fórmulas!B$10</f>
        <v>5142.8571428571431</v>
      </c>
      <c r="K163" s="1">
        <v>1</v>
      </c>
      <c r="L163" s="1">
        <f>((Fórmulas!C$6/Fórmulas!D$6)/0.7)*K163</f>
        <v>2.4489795918367347</v>
      </c>
      <c r="M163" s="1">
        <f>L163*Fórmulas!D$6</f>
        <v>857.14285714285711</v>
      </c>
    </row>
    <row r="164" spans="1:13" x14ac:dyDescent="0.25">
      <c r="A164" s="9" t="s">
        <v>178</v>
      </c>
      <c r="B164" s="25" t="s">
        <v>264</v>
      </c>
      <c r="C164" s="25"/>
      <c r="D164" s="25"/>
      <c r="E164" s="9">
        <v>0.6</v>
      </c>
      <c r="F164" s="9"/>
      <c r="G164" s="1">
        <f>((Fórmulas!C$7/Fórmulas!D$7)/Fórmulas!E$7)*E164</f>
        <v>1.7142857142857142</v>
      </c>
      <c r="H164" s="1">
        <f>G164*Fórmulas!B$9</f>
        <v>600</v>
      </c>
      <c r="I164" s="7">
        <f>E164/Fórmulas!E$7</f>
        <v>1</v>
      </c>
      <c r="J164" s="17">
        <f>G164*Fórmulas!B$10</f>
        <v>1028.5714285714284</v>
      </c>
      <c r="K164" s="1">
        <v>1</v>
      </c>
      <c r="L164" s="1">
        <f>((Fórmulas!C$6/Fórmulas!D$6)/0.7)*K164</f>
        <v>2.4489795918367347</v>
      </c>
      <c r="M164" s="1">
        <f>L164*Fórmulas!D$6</f>
        <v>857.14285714285711</v>
      </c>
    </row>
    <row r="165" spans="1:13" x14ac:dyDescent="0.25">
      <c r="A165" s="9" t="s">
        <v>178</v>
      </c>
      <c r="B165" s="25" t="s">
        <v>263</v>
      </c>
      <c r="C165" s="25"/>
      <c r="D165" s="25"/>
      <c r="E165" s="9">
        <v>1.2</v>
      </c>
      <c r="F165" s="9"/>
      <c r="G165" s="1">
        <f>((Fórmulas!C$7/Fórmulas!D$7)/Fórmulas!E$7)*E165</f>
        <v>3.4285714285714284</v>
      </c>
      <c r="H165" s="1">
        <f>G165*Fórmulas!B$9</f>
        <v>1200</v>
      </c>
      <c r="I165" s="7">
        <f>E165/Fórmulas!E$7</f>
        <v>2</v>
      </c>
      <c r="J165" s="17">
        <f>G165*Fórmulas!B$10</f>
        <v>2057.1428571428569</v>
      </c>
      <c r="K165" s="1">
        <v>1</v>
      </c>
      <c r="L165" s="1">
        <f>((Fórmulas!C$6/Fórmulas!D$6)/0.7)*K165</f>
        <v>2.4489795918367347</v>
      </c>
      <c r="M165" s="1">
        <f>L165*Fórmulas!D$6</f>
        <v>857.14285714285711</v>
      </c>
    </row>
    <row r="166" spans="1:13" x14ac:dyDescent="0.25">
      <c r="A166" s="9" t="s">
        <v>178</v>
      </c>
      <c r="B166" s="25" t="s">
        <v>262</v>
      </c>
      <c r="C166" s="25"/>
      <c r="D166" s="25"/>
      <c r="E166" s="9">
        <v>1.2</v>
      </c>
      <c r="F166" s="9"/>
      <c r="G166" s="1">
        <f>((Fórmulas!C$7/Fórmulas!D$7)/Fórmulas!E$7)*E166</f>
        <v>3.4285714285714284</v>
      </c>
      <c r="H166" s="1">
        <f>G166*Fórmulas!B$9</f>
        <v>1200</v>
      </c>
      <c r="I166" s="7">
        <f>E166/Fórmulas!E$7</f>
        <v>2</v>
      </c>
      <c r="J166" s="17">
        <f>G166*Fórmulas!B$10</f>
        <v>2057.1428571428569</v>
      </c>
      <c r="K166" s="1">
        <v>1</v>
      </c>
      <c r="L166" s="1">
        <f>((Fórmulas!C$6/Fórmulas!D$6)/0.7)*K166</f>
        <v>2.4489795918367347</v>
      </c>
      <c r="M166" s="1">
        <f>L166*Fórmulas!D$6</f>
        <v>857.14285714285711</v>
      </c>
    </row>
    <row r="167" spans="1:13" x14ac:dyDescent="0.25">
      <c r="A167" s="9" t="s">
        <v>178</v>
      </c>
      <c r="B167" s="25" t="s">
        <v>261</v>
      </c>
      <c r="C167" s="25"/>
      <c r="D167" s="25"/>
      <c r="E167" s="9">
        <v>1.2</v>
      </c>
      <c r="F167" s="9"/>
      <c r="G167" s="1">
        <f>((Fórmulas!C$7/Fórmulas!D$7)/Fórmulas!E$7)*E167</f>
        <v>3.4285714285714284</v>
      </c>
      <c r="H167" s="1">
        <f>G167*Fórmulas!B$9</f>
        <v>1200</v>
      </c>
      <c r="I167" s="7">
        <f>E167/Fórmulas!E$7</f>
        <v>2</v>
      </c>
      <c r="J167" s="17">
        <f>G167*Fórmulas!B$10</f>
        <v>2057.1428571428569</v>
      </c>
      <c r="K167" s="1">
        <v>1</v>
      </c>
      <c r="L167" s="1">
        <f>((Fórmulas!C$6/Fórmulas!D$6)/0.7)*K167</f>
        <v>2.4489795918367347</v>
      </c>
      <c r="M167" s="1">
        <f>L167*Fórmulas!D$6</f>
        <v>857.14285714285711</v>
      </c>
    </row>
    <row r="168" spans="1:13" x14ac:dyDescent="0.25">
      <c r="A168" s="9" t="s">
        <v>178</v>
      </c>
      <c r="B168" s="25" t="s">
        <v>363</v>
      </c>
      <c r="C168" s="25"/>
      <c r="D168" s="25"/>
      <c r="E168" s="9">
        <v>4</v>
      </c>
      <c r="F168" s="9"/>
      <c r="G168" s="1">
        <f>((Fórmulas!C$7/Fórmulas!D$7)/Fórmulas!E$7)*E168</f>
        <v>11.428571428571429</v>
      </c>
      <c r="H168" s="1">
        <f>G168*Fórmulas!B$9</f>
        <v>4000</v>
      </c>
      <c r="I168" s="7">
        <f>E168/Fórmulas!E$7</f>
        <v>6.666666666666667</v>
      </c>
      <c r="J168" s="17">
        <f>G168*Fórmulas!B$10</f>
        <v>6857.1428571428569</v>
      </c>
      <c r="K168" s="1">
        <v>1</v>
      </c>
      <c r="L168" s="1">
        <f>((Fórmulas!C$6/Fórmulas!D$6)/0.7)*K168</f>
        <v>2.4489795918367347</v>
      </c>
      <c r="M168" s="1">
        <f>L168*Fórmulas!D$6</f>
        <v>857.14285714285711</v>
      </c>
    </row>
    <row r="169" spans="1:13" x14ac:dyDescent="0.25">
      <c r="A169" s="9" t="s">
        <v>178</v>
      </c>
      <c r="B169" s="25" t="s">
        <v>589</v>
      </c>
      <c r="C169" s="25"/>
      <c r="D169" s="25"/>
      <c r="E169" s="9">
        <v>3.2</v>
      </c>
      <c r="F169" s="9"/>
      <c r="G169" s="1">
        <f>((Fórmulas!C$7/Fórmulas!D$7)/Fórmulas!E$7)*E169</f>
        <v>9.1428571428571441</v>
      </c>
      <c r="H169" s="1">
        <f>G169*Fórmulas!B$9</f>
        <v>3200.0000000000005</v>
      </c>
      <c r="I169" s="7">
        <f>E169/Fórmulas!E$7</f>
        <v>5.3333333333333339</v>
      </c>
      <c r="J169" s="17">
        <f>G169*Fórmulas!B$10</f>
        <v>5485.7142857142862</v>
      </c>
      <c r="K169" s="1">
        <v>1</v>
      </c>
      <c r="L169" s="1">
        <f>((Fórmulas!C$6/Fórmulas!D$6)/0.7)*K169</f>
        <v>2.4489795918367347</v>
      </c>
      <c r="M169" s="1">
        <f>L169*Fórmulas!D$6</f>
        <v>857.14285714285711</v>
      </c>
    </row>
    <row r="170" spans="1:13" x14ac:dyDescent="0.25">
      <c r="A170" s="9" t="s">
        <v>178</v>
      </c>
      <c r="B170" s="25" t="s">
        <v>364</v>
      </c>
      <c r="C170" s="25"/>
      <c r="D170" s="25"/>
      <c r="E170" s="9">
        <v>2.4</v>
      </c>
      <c r="F170" s="9"/>
      <c r="G170" s="1">
        <f>((Fórmulas!C$7/Fórmulas!D$7)/Fórmulas!E$7)*E170</f>
        <v>6.8571428571428568</v>
      </c>
      <c r="H170" s="1">
        <f>G170*Fórmulas!B$9</f>
        <v>2400</v>
      </c>
      <c r="I170" s="7">
        <f>E170/Fórmulas!E$7</f>
        <v>4</v>
      </c>
      <c r="J170" s="17">
        <f>G170*Fórmulas!B$10</f>
        <v>4114.2857142857138</v>
      </c>
      <c r="K170" s="1">
        <v>1</v>
      </c>
      <c r="L170" s="1">
        <f>((Fórmulas!C$6/Fórmulas!D$6)/0.7)*K170</f>
        <v>2.4489795918367347</v>
      </c>
      <c r="M170" s="1">
        <f>L170*Fórmulas!D$6</f>
        <v>857.14285714285711</v>
      </c>
    </row>
    <row r="171" spans="1:13" x14ac:dyDescent="0.25">
      <c r="A171" s="9" t="s">
        <v>178</v>
      </c>
      <c r="B171" s="25" t="s">
        <v>365</v>
      </c>
      <c r="C171" s="25"/>
      <c r="D171" s="25"/>
      <c r="E171" s="9">
        <v>3</v>
      </c>
      <c r="F171" s="9"/>
      <c r="G171" s="1">
        <f>((Fórmulas!C$7/Fórmulas!D$7)/Fórmulas!E$7)*E171</f>
        <v>8.5714285714285712</v>
      </c>
      <c r="H171" s="1">
        <f>G171*Fórmulas!B$9</f>
        <v>3000</v>
      </c>
      <c r="I171" s="7">
        <f>E171/Fórmulas!E$7</f>
        <v>5</v>
      </c>
      <c r="J171" s="17">
        <f>G171*Fórmulas!B$10</f>
        <v>5142.8571428571431</v>
      </c>
      <c r="K171" s="1">
        <v>1</v>
      </c>
      <c r="L171" s="1">
        <f>((Fórmulas!C$6/Fórmulas!D$6)/0.7)*K171</f>
        <v>2.4489795918367347</v>
      </c>
      <c r="M171" s="1">
        <f>L171*Fórmulas!D$6</f>
        <v>857.14285714285711</v>
      </c>
    </row>
    <row r="172" spans="1:13" x14ac:dyDescent="0.25">
      <c r="A172" s="9" t="s">
        <v>178</v>
      </c>
      <c r="B172" s="25" t="s">
        <v>366</v>
      </c>
      <c r="C172" s="25"/>
      <c r="D172" s="25"/>
      <c r="E172" s="9">
        <v>2.4</v>
      </c>
      <c r="F172" s="9"/>
      <c r="G172" s="1">
        <f>((Fórmulas!C$7/Fórmulas!D$7)/Fórmulas!E$7)*E172</f>
        <v>6.8571428571428568</v>
      </c>
      <c r="H172" s="1">
        <f>G172*Fórmulas!B$9</f>
        <v>2400</v>
      </c>
      <c r="I172" s="7">
        <f>E172/Fórmulas!E$7</f>
        <v>4</v>
      </c>
      <c r="J172" s="17">
        <f>G172*Fórmulas!B$10</f>
        <v>4114.2857142857138</v>
      </c>
      <c r="K172" s="1">
        <v>1</v>
      </c>
      <c r="L172" s="1">
        <f>((Fórmulas!C$6/Fórmulas!D$6)/0.7)*K172</f>
        <v>2.4489795918367347</v>
      </c>
      <c r="M172" s="1">
        <f>L172*Fórmulas!D$6</f>
        <v>857.14285714285711</v>
      </c>
    </row>
    <row r="173" spans="1:13" x14ac:dyDescent="0.25">
      <c r="A173" s="9" t="s">
        <v>178</v>
      </c>
      <c r="B173" s="25" t="s">
        <v>798</v>
      </c>
      <c r="C173" s="25"/>
      <c r="D173" s="25"/>
      <c r="E173" s="9">
        <v>2.4</v>
      </c>
      <c r="F173" s="9"/>
      <c r="G173" s="1">
        <f>((Fórmulas!C$7/Fórmulas!D$7)/Fórmulas!E$7)*E173</f>
        <v>6.8571428571428568</v>
      </c>
      <c r="H173" s="1">
        <f>G173*Fórmulas!B$9</f>
        <v>2400</v>
      </c>
      <c r="I173" s="7">
        <f>E173/Fórmulas!E$7</f>
        <v>4</v>
      </c>
      <c r="J173" s="17">
        <f>G173*Fórmulas!B$10</f>
        <v>4114.2857142857138</v>
      </c>
      <c r="K173" s="1">
        <v>1</v>
      </c>
      <c r="L173" s="1">
        <f>((Fórmulas!C$6/Fórmulas!D$6)/0.7)*K173</f>
        <v>2.4489795918367347</v>
      </c>
      <c r="M173" s="1">
        <f>L173*Fórmulas!D$6</f>
        <v>857.14285714285711</v>
      </c>
    </row>
    <row r="174" spans="1:13" x14ac:dyDescent="0.25">
      <c r="A174" s="9"/>
      <c r="B174" s="25"/>
      <c r="C174" s="25"/>
      <c r="D174" s="25"/>
      <c r="E174" s="9">
        <v>0</v>
      </c>
      <c r="F174" s="9"/>
      <c r="G174" s="1">
        <f>((Fórmulas!C$7/Fórmulas!D$7)/Fórmulas!E$7)*E174</f>
        <v>0</v>
      </c>
      <c r="H174" s="1">
        <f>G174*Fórmulas!B$9</f>
        <v>0</v>
      </c>
      <c r="I174" s="7">
        <f>E174/Fórmulas!E$7</f>
        <v>0</v>
      </c>
      <c r="J174" s="17">
        <f>G174*Fórmulas!B$10</f>
        <v>0</v>
      </c>
      <c r="K174" s="1">
        <v>1</v>
      </c>
      <c r="L174" s="1">
        <f>((Fórmulas!C$6/Fórmulas!D$6)/0.7)*K174</f>
        <v>2.4489795918367347</v>
      </c>
      <c r="M174" s="1">
        <f>L174*Fórmulas!D$6</f>
        <v>857.14285714285711</v>
      </c>
    </row>
    <row r="175" spans="1:13" x14ac:dyDescent="0.25">
      <c r="A175" s="9" t="s">
        <v>418</v>
      </c>
      <c r="B175" s="25" t="s">
        <v>419</v>
      </c>
      <c r="C175" s="25"/>
      <c r="D175" s="25"/>
      <c r="E175" s="9">
        <v>4</v>
      </c>
      <c r="F175" s="9"/>
      <c r="G175" s="1">
        <f>((Fórmulas!C$7/Fórmulas!D$7)/Fórmulas!E$7)*E175</f>
        <v>11.428571428571429</v>
      </c>
      <c r="H175" s="1">
        <f>G175*Fórmulas!B$9</f>
        <v>4000</v>
      </c>
      <c r="I175" s="7">
        <f>E175/Fórmulas!E$7</f>
        <v>6.666666666666667</v>
      </c>
      <c r="J175" s="17">
        <f>G175*Fórmulas!B$10</f>
        <v>6857.1428571428569</v>
      </c>
      <c r="K175" s="1">
        <v>1</v>
      </c>
      <c r="L175" s="1">
        <f>((Fórmulas!C$6/Fórmulas!D$6)/0.7)*K175</f>
        <v>2.4489795918367347</v>
      </c>
      <c r="M175" s="1">
        <f>L175*Fórmulas!D$6</f>
        <v>857.14285714285711</v>
      </c>
    </row>
    <row r="176" spans="1:13" x14ac:dyDescent="0.25">
      <c r="A176" s="9"/>
      <c r="B176" s="25"/>
      <c r="C176" s="25"/>
      <c r="D176" s="25"/>
      <c r="E176" s="9">
        <v>0</v>
      </c>
      <c r="F176" s="9"/>
      <c r="G176" s="1">
        <f>((Fórmulas!C$7/Fórmulas!D$7)/Fórmulas!E$7)*E176</f>
        <v>0</v>
      </c>
      <c r="H176" s="1">
        <f>G176*Fórmulas!B$9</f>
        <v>0</v>
      </c>
      <c r="I176" s="7">
        <f>E176/Fórmulas!E$7</f>
        <v>0</v>
      </c>
      <c r="J176" s="17">
        <f>G176*Fórmulas!B$10</f>
        <v>0</v>
      </c>
      <c r="K176" s="1">
        <v>1</v>
      </c>
      <c r="L176" s="1">
        <f>((Fórmulas!C$6/Fórmulas!D$6)/0.7)*K176</f>
        <v>2.4489795918367347</v>
      </c>
      <c r="M176" s="1">
        <f>L176*Fórmulas!D$6</f>
        <v>857.14285714285711</v>
      </c>
    </row>
    <row r="177" spans="1:13" x14ac:dyDescent="0.25">
      <c r="A177" s="9"/>
      <c r="B177" s="25"/>
      <c r="C177" s="25"/>
      <c r="D177" s="25"/>
      <c r="E177" s="9">
        <v>0</v>
      </c>
      <c r="F177" s="9"/>
      <c r="G177" s="1">
        <f>((Fórmulas!C$7/Fórmulas!D$7)/Fórmulas!E$7)*E177</f>
        <v>0</v>
      </c>
      <c r="H177" s="1">
        <f>G177*Fórmulas!B$9</f>
        <v>0</v>
      </c>
      <c r="I177" s="7">
        <f>E177/Fórmulas!E$7</f>
        <v>0</v>
      </c>
      <c r="J177" s="17">
        <f>G177*Fórmulas!B$10</f>
        <v>0</v>
      </c>
      <c r="K177" s="1">
        <v>1</v>
      </c>
      <c r="L177" s="1">
        <f>((Fórmulas!C$6/Fórmulas!D$6)/0.7)*K177</f>
        <v>2.4489795918367347</v>
      </c>
      <c r="M177" s="1">
        <f>L177*Fórmulas!D$6</f>
        <v>857.14285714285711</v>
      </c>
    </row>
    <row r="178" spans="1:13" x14ac:dyDescent="0.25">
      <c r="A178" s="9"/>
      <c r="B178" s="25"/>
      <c r="C178" s="25"/>
      <c r="D178" s="25"/>
      <c r="E178" s="9">
        <v>0</v>
      </c>
      <c r="F178" s="9"/>
      <c r="G178" s="1">
        <f>((Fórmulas!C$7/Fórmulas!D$7)/Fórmulas!E$7)*E178</f>
        <v>0</v>
      </c>
      <c r="H178" s="1">
        <f>G178*Fórmulas!B$9</f>
        <v>0</v>
      </c>
      <c r="I178" s="7">
        <f>E178/Fórmulas!E$7</f>
        <v>0</v>
      </c>
      <c r="J178" s="17">
        <f>G178*Fórmulas!B$10</f>
        <v>0</v>
      </c>
      <c r="K178" s="1">
        <v>1</v>
      </c>
      <c r="L178" s="1">
        <f>((Fórmulas!C$6/Fórmulas!D$6)/0.7)*K178</f>
        <v>2.4489795918367347</v>
      </c>
      <c r="M178" s="1">
        <f>L178*Fórmulas!D$6</f>
        <v>857.14285714285711</v>
      </c>
    </row>
    <row r="179" spans="1:13" x14ac:dyDescent="0.25">
      <c r="A179" s="9" t="s">
        <v>421</v>
      </c>
      <c r="B179" s="25" t="s">
        <v>709</v>
      </c>
      <c r="C179" s="25"/>
      <c r="D179" s="25"/>
      <c r="E179" s="9">
        <v>3</v>
      </c>
      <c r="F179" s="9"/>
      <c r="G179" s="1">
        <f>((Fórmulas!C$7/Fórmulas!D$7)/Fórmulas!E$7)*E179</f>
        <v>8.5714285714285712</v>
      </c>
      <c r="H179" s="1">
        <f>G179*Fórmulas!B$9</f>
        <v>3000</v>
      </c>
      <c r="I179" s="7">
        <f>E179/Fórmulas!E$7</f>
        <v>5</v>
      </c>
      <c r="J179" s="17">
        <f>G179*Fórmulas!B$10</f>
        <v>5142.8571428571431</v>
      </c>
      <c r="K179" s="1">
        <v>1</v>
      </c>
      <c r="L179" s="1">
        <f>((Fórmulas!C$6/Fórmulas!D$6)/0.7)*K179</f>
        <v>2.4489795918367347</v>
      </c>
      <c r="M179" s="1">
        <f>L179*Fórmulas!D$6</f>
        <v>857.14285714285711</v>
      </c>
    </row>
    <row r="180" spans="1:13" x14ac:dyDescent="0.25">
      <c r="A180" s="21" t="s">
        <v>421</v>
      </c>
      <c r="B180" s="25" t="s">
        <v>707</v>
      </c>
      <c r="C180" s="25"/>
      <c r="D180" s="25"/>
      <c r="E180" s="9">
        <v>3</v>
      </c>
      <c r="F180" s="9"/>
      <c r="G180" s="1">
        <f>((Fórmulas!C$7/Fórmulas!D$7)/Fórmulas!E$7)*E180</f>
        <v>8.5714285714285712</v>
      </c>
      <c r="H180" s="1">
        <f>G180*Fórmulas!B$9</f>
        <v>3000</v>
      </c>
      <c r="I180" s="7">
        <f>E180/Fórmulas!E$7</f>
        <v>5</v>
      </c>
      <c r="J180" s="17">
        <f>G180*Fórmulas!B$10</f>
        <v>5142.8571428571431</v>
      </c>
      <c r="K180" s="1">
        <v>1</v>
      </c>
      <c r="L180" s="1">
        <f>((Fórmulas!C$6/Fórmulas!D$6)/0.7)*K180</f>
        <v>2.4489795918367347</v>
      </c>
      <c r="M180" s="1">
        <f>L180*Fórmulas!D$6</f>
        <v>857.14285714285711</v>
      </c>
    </row>
    <row r="181" spans="1:13" x14ac:dyDescent="0.25">
      <c r="A181" s="21" t="s">
        <v>421</v>
      </c>
      <c r="B181" s="25" t="s">
        <v>710</v>
      </c>
      <c r="C181" s="25"/>
      <c r="D181" s="25"/>
      <c r="E181" s="9">
        <v>3</v>
      </c>
      <c r="F181" s="9"/>
      <c r="G181" s="1">
        <f>((Fórmulas!C$7/Fórmulas!D$7)/Fórmulas!E$7)*E181</f>
        <v>8.5714285714285712</v>
      </c>
      <c r="H181" s="1">
        <f>G181*Fórmulas!B$9</f>
        <v>3000</v>
      </c>
      <c r="I181" s="7">
        <f>E181/Fórmulas!E$7</f>
        <v>5</v>
      </c>
      <c r="J181" s="17">
        <f>G181*Fórmulas!B$10</f>
        <v>5142.8571428571431</v>
      </c>
      <c r="K181" s="1">
        <v>1</v>
      </c>
      <c r="L181" s="1">
        <f>((Fórmulas!C$6/Fórmulas!D$6)/0.7)*K181</f>
        <v>2.4489795918367347</v>
      </c>
      <c r="M181" s="1">
        <f>L181*Fórmulas!D$6</f>
        <v>857.14285714285711</v>
      </c>
    </row>
    <row r="182" spans="1:13" x14ac:dyDescent="0.25">
      <c r="A182" s="21" t="s">
        <v>421</v>
      </c>
      <c r="B182" s="25" t="s">
        <v>711</v>
      </c>
      <c r="C182" s="25"/>
      <c r="D182" s="25"/>
      <c r="E182" s="9">
        <v>3</v>
      </c>
      <c r="F182" s="9"/>
      <c r="G182" s="1">
        <f>((Fórmulas!C$7/Fórmulas!D$7)/Fórmulas!E$7)*E182</f>
        <v>8.5714285714285712</v>
      </c>
      <c r="H182" s="1">
        <f>G182*Fórmulas!B$9</f>
        <v>3000</v>
      </c>
      <c r="I182" s="7">
        <f>E182/Fórmulas!E$7</f>
        <v>5</v>
      </c>
      <c r="J182" s="17">
        <f>G182*Fórmulas!B$10</f>
        <v>5142.8571428571431</v>
      </c>
      <c r="K182" s="1">
        <v>1</v>
      </c>
      <c r="L182" s="1">
        <f>((Fórmulas!C$6/Fórmulas!D$6)/0.7)*K182</f>
        <v>2.4489795918367347</v>
      </c>
      <c r="M182" s="1">
        <f>L182*Fórmulas!D$6</f>
        <v>857.14285714285711</v>
      </c>
    </row>
    <row r="183" spans="1:13" x14ac:dyDescent="0.25">
      <c r="A183" s="21" t="s">
        <v>421</v>
      </c>
      <c r="B183" s="25" t="s">
        <v>712</v>
      </c>
      <c r="C183" s="25"/>
      <c r="D183" s="25"/>
      <c r="E183" s="9">
        <v>3</v>
      </c>
      <c r="F183" s="9"/>
      <c r="G183" s="1">
        <f>((Fórmulas!C$7/Fórmulas!D$7)/Fórmulas!E$7)*E183</f>
        <v>8.5714285714285712</v>
      </c>
      <c r="H183" s="1">
        <f>G183*Fórmulas!B$9</f>
        <v>3000</v>
      </c>
      <c r="I183" s="7">
        <f>E183/Fórmulas!E$7</f>
        <v>5</v>
      </c>
      <c r="J183" s="17">
        <f>G183*Fórmulas!B$10</f>
        <v>5142.8571428571431</v>
      </c>
      <c r="K183" s="1">
        <v>1</v>
      </c>
      <c r="L183" s="1">
        <f>((Fórmulas!C$6/Fórmulas!D$6)/0.7)*K183</f>
        <v>2.4489795918367347</v>
      </c>
      <c r="M183" s="1">
        <f>L183*Fórmulas!D$6</f>
        <v>857.14285714285711</v>
      </c>
    </row>
    <row r="184" spans="1:13" x14ac:dyDescent="0.25">
      <c r="A184" s="21" t="s">
        <v>421</v>
      </c>
      <c r="B184" s="25" t="s">
        <v>704</v>
      </c>
      <c r="C184" s="25"/>
      <c r="D184" s="25"/>
      <c r="E184" s="9">
        <v>4.5999999999999996</v>
      </c>
      <c r="F184" s="9"/>
      <c r="G184" s="1">
        <f>((Fórmulas!C$7/Fórmulas!D$7)/Fórmulas!E$7)*E184</f>
        <v>13.142857142857142</v>
      </c>
      <c r="H184" s="1">
        <f>G184*Fórmulas!B$9</f>
        <v>4600</v>
      </c>
      <c r="I184" s="7">
        <f>E184/Fórmulas!E$7</f>
        <v>7.6666666666666661</v>
      </c>
      <c r="J184" s="17">
        <f>G184*Fórmulas!B$10</f>
        <v>7885.7142857142853</v>
      </c>
      <c r="K184" s="1">
        <v>1</v>
      </c>
      <c r="L184" s="1">
        <f>((Fórmulas!C$6/Fórmulas!D$6)/0.7)*K184</f>
        <v>2.4489795918367347</v>
      </c>
      <c r="M184" s="1">
        <f>L184*Fórmulas!D$6</f>
        <v>857.14285714285711</v>
      </c>
    </row>
    <row r="185" spans="1:13" s="21" customFormat="1" x14ac:dyDescent="0.25">
      <c r="A185" s="21" t="s">
        <v>421</v>
      </c>
      <c r="B185" s="25" t="s">
        <v>713</v>
      </c>
      <c r="C185" s="25"/>
      <c r="D185" s="25"/>
      <c r="E185" s="21">
        <v>5</v>
      </c>
      <c r="G185" s="1">
        <f>((Fórmulas!C$7/Fórmulas!D$7)/Fórmulas!E$7)*E185</f>
        <v>14.285714285714286</v>
      </c>
      <c r="H185" s="1">
        <f>G185*Fórmulas!B$9</f>
        <v>5000</v>
      </c>
      <c r="I185" s="7">
        <f>E185/Fórmulas!E$7</f>
        <v>8.3333333333333339</v>
      </c>
      <c r="J185" s="17">
        <f>G185*Fórmulas!B$10</f>
        <v>8571.4285714285725</v>
      </c>
      <c r="K185" s="1">
        <v>1</v>
      </c>
      <c r="L185" s="1">
        <f>((Fórmulas!C$6/Fórmulas!D$6)/0.7)*K185</f>
        <v>2.4489795918367347</v>
      </c>
      <c r="M185" s="1">
        <f>L185*Fórmulas!D$6</f>
        <v>857.14285714285711</v>
      </c>
    </row>
    <row r="186" spans="1:13" s="21" customFormat="1" x14ac:dyDescent="0.25">
      <c r="A186" s="21" t="s">
        <v>421</v>
      </c>
      <c r="B186" s="25" t="s">
        <v>721</v>
      </c>
      <c r="C186" s="25"/>
      <c r="D186" s="25"/>
      <c r="E186" s="21">
        <v>5</v>
      </c>
      <c r="G186" s="1">
        <f>((Fórmulas!C$7/Fórmulas!D$7)/Fórmulas!E$7)*E186</f>
        <v>14.285714285714286</v>
      </c>
      <c r="H186" s="1">
        <f>G186*Fórmulas!B$9</f>
        <v>5000</v>
      </c>
      <c r="I186" s="7">
        <f>E186/Fórmulas!E$7</f>
        <v>8.3333333333333339</v>
      </c>
      <c r="J186" s="17">
        <f>G186*Fórmulas!B$10</f>
        <v>8571.4285714285725</v>
      </c>
      <c r="K186" s="1">
        <v>1</v>
      </c>
      <c r="L186" s="1">
        <f>((Fórmulas!C$6/Fórmulas!D$6)/0.7)*K186</f>
        <v>2.4489795918367347</v>
      </c>
      <c r="M186" s="1">
        <f>L186*Fórmulas!D$6</f>
        <v>857.14285714285711</v>
      </c>
    </row>
    <row r="187" spans="1:13" s="21" customFormat="1" x14ac:dyDescent="0.25">
      <c r="B187" s="25"/>
      <c r="C187" s="25"/>
      <c r="D187" s="25"/>
      <c r="E187" s="21">
        <v>0</v>
      </c>
      <c r="G187" s="1">
        <f>((Fórmulas!C$7/Fórmulas!D$7)/Fórmulas!E$7)*E187</f>
        <v>0</v>
      </c>
      <c r="H187" s="1">
        <f>G187*Fórmulas!B$9</f>
        <v>0</v>
      </c>
      <c r="I187" s="7">
        <f>E187/Fórmulas!E$7</f>
        <v>0</v>
      </c>
      <c r="J187" s="17">
        <f>G187*Fórmulas!B$10</f>
        <v>0</v>
      </c>
      <c r="K187" s="1">
        <v>1</v>
      </c>
      <c r="L187" s="1">
        <f>((Fórmulas!C$6/Fórmulas!D$6)/0.7)*K187</f>
        <v>2.4489795918367347</v>
      </c>
      <c r="M187" s="1">
        <f>L187*Fórmulas!D$6</f>
        <v>857.14285714285711</v>
      </c>
    </row>
    <row r="188" spans="1:13" s="21" customFormat="1" x14ac:dyDescent="0.25">
      <c r="B188" s="25"/>
      <c r="C188" s="25"/>
      <c r="D188" s="25"/>
      <c r="E188" s="21">
        <v>0</v>
      </c>
      <c r="G188" s="1">
        <f>((Fórmulas!C$7/Fórmulas!D$7)/Fórmulas!E$7)*E188</f>
        <v>0</v>
      </c>
      <c r="H188" s="1">
        <f>G188*Fórmulas!B$9</f>
        <v>0</v>
      </c>
      <c r="I188" s="7">
        <f>E188/Fórmulas!E$7</f>
        <v>0</v>
      </c>
      <c r="J188" s="17">
        <f>G188*Fórmulas!B$10</f>
        <v>0</v>
      </c>
      <c r="K188" s="1">
        <v>1</v>
      </c>
      <c r="L188" s="1">
        <f>((Fórmulas!C$6/Fórmulas!D$6)/0.7)*K188</f>
        <v>2.4489795918367347</v>
      </c>
      <c r="M188" s="1">
        <f>L188*Fórmulas!D$6</f>
        <v>857.14285714285711</v>
      </c>
    </row>
    <row r="189" spans="1:13" s="21" customFormat="1" x14ac:dyDescent="0.25">
      <c r="B189" s="25"/>
      <c r="C189" s="25"/>
      <c r="D189" s="25"/>
      <c r="E189" s="21">
        <v>0</v>
      </c>
      <c r="G189" s="1">
        <f>((Fórmulas!C$7/Fórmulas!D$7)/Fórmulas!E$7)*E189</f>
        <v>0</v>
      </c>
      <c r="H189" s="1">
        <f>G189*Fórmulas!B$9</f>
        <v>0</v>
      </c>
      <c r="I189" s="7">
        <f>E189/Fórmulas!E$7</f>
        <v>0</v>
      </c>
      <c r="J189" s="17">
        <f>G189*Fórmulas!B$10</f>
        <v>0</v>
      </c>
      <c r="K189" s="1">
        <v>1</v>
      </c>
      <c r="L189" s="1">
        <f>((Fórmulas!C$6/Fórmulas!D$6)/0.7)*K189</f>
        <v>2.4489795918367347</v>
      </c>
      <c r="M189" s="1">
        <f>L189*Fórmulas!D$6</f>
        <v>857.14285714285711</v>
      </c>
    </row>
    <row r="190" spans="1:13" s="21" customFormat="1" x14ac:dyDescent="0.25">
      <c r="B190" s="25"/>
      <c r="C190" s="25"/>
      <c r="D190" s="25"/>
      <c r="E190" s="21">
        <v>0</v>
      </c>
      <c r="G190" s="1">
        <f>((Fórmulas!C$7/Fórmulas!D$7)/Fórmulas!E$7)*E190</f>
        <v>0</v>
      </c>
      <c r="H190" s="1">
        <f>G190*Fórmulas!B$9</f>
        <v>0</v>
      </c>
      <c r="I190" s="7">
        <f>E190/Fórmulas!E$7</f>
        <v>0</v>
      </c>
      <c r="J190" s="17">
        <f>G190*Fórmulas!B$10</f>
        <v>0</v>
      </c>
      <c r="K190" s="1">
        <v>1</v>
      </c>
      <c r="L190" s="1">
        <f>((Fórmulas!C$6/Fórmulas!D$6)/0.7)*K190</f>
        <v>2.4489795918367347</v>
      </c>
      <c r="M190" s="1">
        <f>L190*Fórmulas!D$6</f>
        <v>857.14285714285711</v>
      </c>
    </row>
    <row r="191" spans="1:13" s="21" customFormat="1" x14ac:dyDescent="0.25">
      <c r="A191" s="21" t="s">
        <v>882</v>
      </c>
      <c r="B191" s="25" t="s">
        <v>883</v>
      </c>
      <c r="C191" s="25"/>
      <c r="D191" s="25"/>
      <c r="E191" s="21">
        <v>0.9</v>
      </c>
      <c r="G191" s="1">
        <f>((Fórmulas!C$7/Fórmulas!D$7)/Fórmulas!E$7)*E191</f>
        <v>2.5714285714285716</v>
      </c>
      <c r="H191" s="1">
        <f>G191*Fórmulas!B$9</f>
        <v>900.00000000000011</v>
      </c>
      <c r="I191" s="7">
        <f>E191/Fórmulas!E$7</f>
        <v>1.5</v>
      </c>
      <c r="J191" s="17">
        <f>G191*Fórmulas!B$10</f>
        <v>1542.8571428571429</v>
      </c>
      <c r="K191" s="1">
        <v>1</v>
      </c>
      <c r="L191" s="1">
        <f>((Fórmulas!C$6/Fórmulas!D$6)/0.7)*K191</f>
        <v>2.4489795918367347</v>
      </c>
      <c r="M191" s="1">
        <f>L191*Fórmulas!D$6</f>
        <v>857.14285714285711</v>
      </c>
    </row>
    <row r="192" spans="1:13" s="21" customFormat="1" x14ac:dyDescent="0.25">
      <c r="A192" s="24" t="s">
        <v>882</v>
      </c>
      <c r="B192" s="25" t="s">
        <v>884</v>
      </c>
      <c r="C192" s="25"/>
      <c r="D192" s="25"/>
      <c r="E192" s="21">
        <v>0.9</v>
      </c>
      <c r="G192" s="1">
        <f>((Fórmulas!C$7/Fórmulas!D$7)/Fórmulas!E$7)*E192</f>
        <v>2.5714285714285716</v>
      </c>
      <c r="H192" s="1">
        <f>G192*Fórmulas!B$9</f>
        <v>900.00000000000011</v>
      </c>
      <c r="I192" s="7">
        <f>E192/Fórmulas!E$7</f>
        <v>1.5</v>
      </c>
      <c r="J192" s="17">
        <f>G192*Fórmulas!B$10</f>
        <v>1542.8571428571429</v>
      </c>
      <c r="K192" s="1">
        <v>1</v>
      </c>
      <c r="L192" s="1">
        <f>((Fórmulas!C$6/Fórmulas!D$6)/0.7)*K192</f>
        <v>2.4489795918367347</v>
      </c>
      <c r="M192" s="1">
        <f>L192*Fórmulas!D$6</f>
        <v>857.14285714285711</v>
      </c>
    </row>
    <row r="193" spans="1:13" s="21" customFormat="1" x14ac:dyDescent="0.25">
      <c r="A193" s="24" t="s">
        <v>882</v>
      </c>
      <c r="B193" s="25" t="s">
        <v>885</v>
      </c>
      <c r="C193" s="25"/>
      <c r="D193" s="25"/>
      <c r="E193" s="21">
        <v>0.9</v>
      </c>
      <c r="G193" s="1">
        <f>((Fórmulas!C$7/Fórmulas!D$7)/Fórmulas!E$7)*E193</f>
        <v>2.5714285714285716</v>
      </c>
      <c r="H193" s="1">
        <f>G193*Fórmulas!B$9</f>
        <v>900.00000000000011</v>
      </c>
      <c r="I193" s="7">
        <f>E193/Fórmulas!E$7</f>
        <v>1.5</v>
      </c>
      <c r="J193" s="17">
        <f>G193*Fórmulas!B$10</f>
        <v>1542.8571428571429</v>
      </c>
      <c r="K193" s="1">
        <v>1</v>
      </c>
      <c r="L193" s="1">
        <f>((Fórmulas!C$6/Fórmulas!D$6)/0.7)*K193</f>
        <v>2.4489795918367347</v>
      </c>
      <c r="M193" s="1">
        <f>L193*Fórmulas!D$6</f>
        <v>857.14285714285711</v>
      </c>
    </row>
    <row r="194" spans="1:13" s="21" customFormat="1" x14ac:dyDescent="0.25">
      <c r="B194" s="25"/>
      <c r="C194" s="25"/>
      <c r="D194" s="25"/>
      <c r="E194" s="21">
        <v>0</v>
      </c>
      <c r="G194" s="1">
        <f>((Fórmulas!C$7/Fórmulas!D$7)/Fórmulas!E$7)*E194</f>
        <v>0</v>
      </c>
      <c r="H194" s="1">
        <f>G194*Fórmulas!B$9</f>
        <v>0</v>
      </c>
      <c r="I194" s="7">
        <f>E194/Fórmulas!E$7</f>
        <v>0</v>
      </c>
      <c r="J194" s="17">
        <f>G194*Fórmulas!B$10</f>
        <v>0</v>
      </c>
      <c r="K194" s="1">
        <v>1</v>
      </c>
      <c r="L194" s="1">
        <f>((Fórmulas!C$6/Fórmulas!D$6)/0.7)*K194</f>
        <v>2.4489795918367347</v>
      </c>
      <c r="M194" s="1">
        <f>L194*Fórmulas!D$6</f>
        <v>857.14285714285711</v>
      </c>
    </row>
    <row r="195" spans="1:13" s="21" customFormat="1" x14ac:dyDescent="0.25">
      <c r="B195" s="25"/>
      <c r="C195" s="25"/>
      <c r="D195" s="25"/>
      <c r="E195" s="21">
        <v>0</v>
      </c>
      <c r="G195" s="1">
        <f>((Fórmulas!C$7/Fórmulas!D$7)/Fórmulas!E$7)*E195</f>
        <v>0</v>
      </c>
      <c r="H195" s="1">
        <f>G195*Fórmulas!B$9</f>
        <v>0</v>
      </c>
      <c r="I195" s="7">
        <f>E195/Fórmulas!E$7</f>
        <v>0</v>
      </c>
      <c r="J195" s="17">
        <f>G195*Fórmulas!B$10</f>
        <v>0</v>
      </c>
      <c r="K195" s="1">
        <v>1</v>
      </c>
      <c r="L195" s="1">
        <f>((Fórmulas!C$6/Fórmulas!D$6)/0.7)*K195</f>
        <v>2.4489795918367347</v>
      </c>
      <c r="M195" s="1">
        <f>L195*Fórmulas!D$6</f>
        <v>857.14285714285711</v>
      </c>
    </row>
    <row r="196" spans="1:13" s="21" customFormat="1" x14ac:dyDescent="0.25">
      <c r="B196" s="25"/>
      <c r="C196" s="25"/>
      <c r="D196" s="25"/>
      <c r="E196" s="21">
        <v>0</v>
      </c>
      <c r="G196" s="1">
        <f>((Fórmulas!C$7/Fórmulas!D$7)/Fórmulas!E$7)*E196</f>
        <v>0</v>
      </c>
      <c r="H196" s="1">
        <f>G196*Fórmulas!B$9</f>
        <v>0</v>
      </c>
      <c r="I196" s="7">
        <f>E196/Fórmulas!E$7</f>
        <v>0</v>
      </c>
      <c r="J196" s="17">
        <f>G196*Fórmulas!B$10</f>
        <v>0</v>
      </c>
      <c r="K196" s="1">
        <v>1</v>
      </c>
      <c r="L196" s="1">
        <f>((Fórmulas!C$6/Fórmulas!D$6)/0.7)*K196</f>
        <v>2.4489795918367347</v>
      </c>
      <c r="M196" s="1">
        <f>L196*Fórmulas!D$6</f>
        <v>857.14285714285711</v>
      </c>
    </row>
    <row r="197" spans="1:13" s="21" customFormat="1" x14ac:dyDescent="0.25">
      <c r="B197" s="25"/>
      <c r="C197" s="25"/>
      <c r="D197" s="25"/>
      <c r="E197" s="21">
        <v>0</v>
      </c>
      <c r="G197" s="1">
        <f>((Fórmulas!C$7/Fórmulas!D$7)/Fórmulas!E$7)*E197</f>
        <v>0</v>
      </c>
      <c r="H197" s="1">
        <f>G197*Fórmulas!B$9</f>
        <v>0</v>
      </c>
      <c r="I197" s="7">
        <f>E197/Fórmulas!E$7</f>
        <v>0</v>
      </c>
      <c r="J197" s="17">
        <f>G197*Fórmulas!B$10</f>
        <v>0</v>
      </c>
      <c r="K197" s="1">
        <v>1</v>
      </c>
      <c r="L197" s="1">
        <f>((Fórmulas!C$6/Fórmulas!D$6)/0.7)*K197</f>
        <v>2.4489795918367347</v>
      </c>
      <c r="M197" s="1">
        <f>L197*Fórmulas!D$6</f>
        <v>857.14285714285711</v>
      </c>
    </row>
    <row r="198" spans="1:13" s="21" customFormat="1" x14ac:dyDescent="0.25">
      <c r="B198" s="25"/>
      <c r="C198" s="25"/>
      <c r="D198" s="25"/>
      <c r="E198" s="21">
        <v>0</v>
      </c>
      <c r="G198" s="1">
        <f>((Fórmulas!C$7/Fórmulas!D$7)/Fórmulas!E$7)*E198</f>
        <v>0</v>
      </c>
      <c r="H198" s="1">
        <f>G198*Fórmulas!B$9</f>
        <v>0</v>
      </c>
      <c r="I198" s="7">
        <f>E198/Fórmulas!E$7</f>
        <v>0</v>
      </c>
      <c r="J198" s="17">
        <f>G198*Fórmulas!B$10</f>
        <v>0</v>
      </c>
      <c r="K198" s="1">
        <v>1</v>
      </c>
      <c r="L198" s="1">
        <f>((Fórmulas!C$6/Fórmulas!D$6)/0.7)*K198</f>
        <v>2.4489795918367347</v>
      </c>
      <c r="M198" s="1">
        <f>L198*Fórmulas!D$6</f>
        <v>857.14285714285711</v>
      </c>
    </row>
    <row r="199" spans="1:13" s="21" customFormat="1" x14ac:dyDescent="0.25">
      <c r="B199" s="25"/>
      <c r="C199" s="25"/>
      <c r="D199" s="25"/>
      <c r="E199" s="21">
        <v>0</v>
      </c>
      <c r="G199" s="1">
        <f>((Fórmulas!C$7/Fórmulas!D$7)/Fórmulas!E$7)*E199</f>
        <v>0</v>
      </c>
      <c r="H199" s="1">
        <f>G199*Fórmulas!B$9</f>
        <v>0</v>
      </c>
      <c r="I199" s="7">
        <f>E199/Fórmulas!E$7</f>
        <v>0</v>
      </c>
      <c r="J199" s="17">
        <f>G199*Fórmulas!B$10</f>
        <v>0</v>
      </c>
      <c r="K199" s="1">
        <v>1</v>
      </c>
      <c r="L199" s="1">
        <f>((Fórmulas!C$6/Fórmulas!D$6)/0.7)*K199</f>
        <v>2.4489795918367347</v>
      </c>
      <c r="M199" s="1">
        <f>L199*Fórmulas!D$6</f>
        <v>857.14285714285711</v>
      </c>
    </row>
    <row r="200" spans="1:13" s="21" customFormat="1" x14ac:dyDescent="0.25">
      <c r="A200" s="21" t="s">
        <v>890</v>
      </c>
      <c r="B200" s="25" t="s">
        <v>894</v>
      </c>
      <c r="C200" s="25"/>
      <c r="D200" s="25"/>
      <c r="E200" s="21">
        <v>0.3</v>
      </c>
      <c r="G200" s="1">
        <f>((Fórmulas!C$7/Fórmulas!D$7)/Fórmulas!E$7)*E200</f>
        <v>0.8571428571428571</v>
      </c>
      <c r="H200" s="1">
        <f>G200*Fórmulas!B$9</f>
        <v>300</v>
      </c>
      <c r="I200" s="7">
        <f>E200/Fórmulas!E$7</f>
        <v>0.5</v>
      </c>
      <c r="J200" s="17">
        <f>G200*Fórmulas!B$10</f>
        <v>514.28571428571422</v>
      </c>
      <c r="K200" s="1">
        <v>1</v>
      </c>
      <c r="L200" s="1">
        <f>((Fórmulas!C$6/Fórmulas!D$6)/0.7)*K200</f>
        <v>2.4489795918367347</v>
      </c>
      <c r="M200" s="1">
        <f>L200*Fórmulas!D$6</f>
        <v>857.14285714285711</v>
      </c>
    </row>
    <row r="201" spans="1:13" s="21" customFormat="1" x14ac:dyDescent="0.25">
      <c r="A201" s="24" t="s">
        <v>890</v>
      </c>
      <c r="B201" s="25" t="s">
        <v>895</v>
      </c>
      <c r="C201" s="25"/>
      <c r="D201" s="25"/>
      <c r="E201" s="21">
        <v>0.3</v>
      </c>
      <c r="G201" s="1">
        <f>((Fórmulas!C$7/Fórmulas!D$7)/Fórmulas!E$7)*E201</f>
        <v>0.8571428571428571</v>
      </c>
      <c r="H201" s="1">
        <f>G201*Fórmulas!B$9</f>
        <v>300</v>
      </c>
      <c r="I201" s="7">
        <f>E201/Fórmulas!E$7</f>
        <v>0.5</v>
      </c>
      <c r="J201" s="17">
        <f>G201*Fórmulas!B$10</f>
        <v>514.28571428571422</v>
      </c>
      <c r="K201" s="1">
        <v>1</v>
      </c>
      <c r="L201" s="1">
        <f>((Fórmulas!C$6/Fórmulas!D$6)/0.7)*K201</f>
        <v>2.4489795918367347</v>
      </c>
      <c r="M201" s="1">
        <f>L201*Fórmulas!D$6</f>
        <v>857.14285714285711</v>
      </c>
    </row>
    <row r="202" spans="1:13" s="21" customFormat="1" x14ac:dyDescent="0.25">
      <c r="B202" s="25"/>
      <c r="C202" s="25"/>
      <c r="D202" s="25"/>
      <c r="E202" s="21">
        <v>0</v>
      </c>
      <c r="G202" s="1">
        <f>((Fórmulas!C$7/Fórmulas!D$7)/Fórmulas!E$7)*E202</f>
        <v>0</v>
      </c>
      <c r="H202" s="1">
        <f>G202*Fórmulas!B$9</f>
        <v>0</v>
      </c>
      <c r="I202" s="7">
        <f>E202/Fórmulas!E$7</f>
        <v>0</v>
      </c>
      <c r="J202" s="17">
        <f>G202*Fórmulas!B$10</f>
        <v>0</v>
      </c>
      <c r="K202" s="1">
        <v>1</v>
      </c>
      <c r="L202" s="1">
        <f>((Fórmulas!C$6/Fórmulas!D$6)/0.7)*K202</f>
        <v>2.4489795918367347</v>
      </c>
      <c r="M202" s="1">
        <f>L202*Fórmulas!D$6</f>
        <v>857.14285714285711</v>
      </c>
    </row>
    <row r="203" spans="1:13" s="21" customFormat="1" x14ac:dyDescent="0.25">
      <c r="B203" s="25"/>
      <c r="C203" s="25"/>
      <c r="D203" s="25"/>
      <c r="E203" s="21">
        <v>0</v>
      </c>
      <c r="G203" s="1">
        <f>((Fórmulas!C$7/Fórmulas!D$7)/Fórmulas!E$7)*E203</f>
        <v>0</v>
      </c>
      <c r="H203" s="1">
        <f>G203*Fórmulas!B$9</f>
        <v>0</v>
      </c>
      <c r="I203" s="7">
        <f>E203/Fórmulas!E$7</f>
        <v>0</v>
      </c>
      <c r="J203" s="17">
        <f>G203*Fórmulas!B$10</f>
        <v>0</v>
      </c>
      <c r="K203" s="1">
        <v>1</v>
      </c>
      <c r="L203" s="1">
        <f>((Fórmulas!C$6/Fórmulas!D$6)/0.7)*K203</f>
        <v>2.4489795918367347</v>
      </c>
      <c r="M203" s="1">
        <f>L203*Fórmulas!D$6</f>
        <v>857.14285714285711</v>
      </c>
    </row>
    <row r="204" spans="1:13" s="21" customFormat="1" x14ac:dyDescent="0.25">
      <c r="B204" s="25"/>
      <c r="C204" s="25"/>
      <c r="D204" s="25"/>
      <c r="E204" s="21">
        <v>0</v>
      </c>
      <c r="G204" s="1">
        <f>((Fórmulas!C$7/Fórmulas!D$7)/Fórmulas!E$7)*E204</f>
        <v>0</v>
      </c>
      <c r="H204" s="1">
        <f>G204*Fórmulas!B$9</f>
        <v>0</v>
      </c>
      <c r="I204" s="7">
        <f>E204/Fórmulas!E$7</f>
        <v>0</v>
      </c>
      <c r="J204" s="17">
        <f>G204*Fórmulas!B$10</f>
        <v>0</v>
      </c>
      <c r="K204" s="1">
        <v>1</v>
      </c>
      <c r="L204" s="1">
        <f>((Fórmulas!C$6/Fórmulas!D$6)/0.7)*K204</f>
        <v>2.4489795918367347</v>
      </c>
      <c r="M204" s="1">
        <f>L204*Fórmulas!D$6</f>
        <v>857.14285714285711</v>
      </c>
    </row>
    <row r="205" spans="1:13" s="21" customFormat="1" x14ac:dyDescent="0.25">
      <c r="B205" s="25"/>
      <c r="C205" s="25"/>
      <c r="D205" s="25"/>
      <c r="E205" s="21">
        <v>0</v>
      </c>
      <c r="G205" s="1">
        <f>((Fórmulas!C$7/Fórmulas!D$7)/Fórmulas!E$7)*E205</f>
        <v>0</v>
      </c>
      <c r="H205" s="1">
        <f>G205*Fórmulas!B$9</f>
        <v>0</v>
      </c>
      <c r="I205" s="7">
        <f>E205/Fórmulas!E$7</f>
        <v>0</v>
      </c>
      <c r="J205" s="17">
        <f>G205*Fórmulas!B$10</f>
        <v>0</v>
      </c>
      <c r="K205" s="1">
        <v>1</v>
      </c>
      <c r="L205" s="1">
        <f>((Fórmulas!C$6/Fórmulas!D$6)/0.7)*K205</f>
        <v>2.4489795918367347</v>
      </c>
      <c r="M205" s="1">
        <f>L205*Fórmulas!D$6</f>
        <v>857.14285714285711</v>
      </c>
    </row>
    <row r="206" spans="1:13" s="21" customFormat="1" x14ac:dyDescent="0.25">
      <c r="B206" s="25"/>
      <c r="C206" s="25"/>
      <c r="D206" s="25"/>
      <c r="E206" s="21">
        <v>0</v>
      </c>
      <c r="G206" s="1">
        <f>((Fórmulas!C$7/Fórmulas!D$7)/Fórmulas!E$7)*E206</f>
        <v>0</v>
      </c>
      <c r="H206" s="1">
        <f>G206*Fórmulas!B$9</f>
        <v>0</v>
      </c>
      <c r="I206" s="7">
        <f>E206/Fórmulas!E$7</f>
        <v>0</v>
      </c>
      <c r="J206" s="17">
        <f>G206*Fórmulas!B$10</f>
        <v>0</v>
      </c>
      <c r="K206" s="1">
        <v>1</v>
      </c>
      <c r="L206" s="1">
        <f>((Fórmulas!C$6/Fórmulas!D$6)/0.7)*K206</f>
        <v>2.4489795918367347</v>
      </c>
      <c r="M206" s="1">
        <f>L206*Fórmulas!D$6</f>
        <v>857.14285714285711</v>
      </c>
    </row>
    <row r="207" spans="1:13" s="21" customFormat="1" x14ac:dyDescent="0.25">
      <c r="B207" s="25"/>
      <c r="C207" s="25"/>
      <c r="D207" s="25"/>
      <c r="E207" s="21">
        <v>0</v>
      </c>
      <c r="G207" s="1">
        <f>((Fórmulas!C$7/Fórmulas!D$7)/Fórmulas!E$7)*E207</f>
        <v>0</v>
      </c>
      <c r="H207" s="1">
        <f>G207*Fórmulas!B$9</f>
        <v>0</v>
      </c>
      <c r="I207" s="7">
        <f>E207/Fórmulas!E$7</f>
        <v>0</v>
      </c>
      <c r="J207" s="17">
        <f>G207*Fórmulas!B$10</f>
        <v>0</v>
      </c>
      <c r="K207" s="1">
        <v>1</v>
      </c>
      <c r="L207" s="1">
        <f>((Fórmulas!C$6/Fórmulas!D$6)/0.7)*K207</f>
        <v>2.4489795918367347</v>
      </c>
      <c r="M207" s="1">
        <f>L207*Fórmulas!D$6</f>
        <v>857.14285714285711</v>
      </c>
    </row>
    <row r="208" spans="1:13" x14ac:dyDescent="0.25">
      <c r="A208" s="21"/>
      <c r="B208" s="25"/>
      <c r="C208" s="25"/>
      <c r="D208" s="25"/>
      <c r="E208" s="21">
        <v>0</v>
      </c>
      <c r="F208" s="21"/>
      <c r="G208" s="1">
        <f>((Fórmulas!C$7/Fórmulas!D$7)/Fórmulas!E$7)*E208</f>
        <v>0</v>
      </c>
      <c r="H208" s="1">
        <f>G208*Fórmulas!B$9</f>
        <v>0</v>
      </c>
      <c r="I208" s="7">
        <f>E208/Fórmulas!E$7</f>
        <v>0</v>
      </c>
      <c r="J208" s="17">
        <f>G208*Fórmulas!B$10</f>
        <v>0</v>
      </c>
      <c r="K208" s="1">
        <v>1</v>
      </c>
      <c r="L208" s="1">
        <f>((Fórmulas!C$6/Fórmulas!D$6)/0.7)*K208</f>
        <v>2.4489795918367347</v>
      </c>
      <c r="M208" s="1">
        <f>L208*Fórmulas!D$6</f>
        <v>857.14285714285711</v>
      </c>
    </row>
    <row r="209" spans="1:13" x14ac:dyDescent="0.25">
      <c r="A209" s="9" t="s">
        <v>448</v>
      </c>
      <c r="B209" s="25" t="s">
        <v>449</v>
      </c>
      <c r="C209" s="25"/>
      <c r="D209" s="25"/>
      <c r="E209" s="9">
        <v>1.2</v>
      </c>
      <c r="F209" s="9"/>
      <c r="G209" s="1">
        <f>((Fórmulas!C$7/Fórmulas!D$7)/Fórmulas!E$7)*E209</f>
        <v>3.4285714285714284</v>
      </c>
      <c r="H209" s="1">
        <f>G209*Fórmulas!B$9</f>
        <v>1200</v>
      </c>
      <c r="I209" s="7">
        <f>E209/Fórmulas!E$7</f>
        <v>2</v>
      </c>
      <c r="J209" s="17">
        <f>G209*Fórmulas!B$10</f>
        <v>2057.1428571428569</v>
      </c>
      <c r="K209" s="1">
        <v>1</v>
      </c>
      <c r="L209" s="1">
        <f>((Fórmulas!C$6/Fórmulas!D$6)/0.7)*K209</f>
        <v>2.4489795918367347</v>
      </c>
      <c r="M209" s="1">
        <f>L209*Fórmulas!D$6</f>
        <v>857.14285714285711</v>
      </c>
    </row>
    <row r="210" spans="1:13" x14ac:dyDescent="0.25">
      <c r="A210" s="9" t="s">
        <v>448</v>
      </c>
      <c r="B210" s="25" t="s">
        <v>450</v>
      </c>
      <c r="C210" s="25"/>
      <c r="D210" s="25"/>
      <c r="E210" s="9">
        <v>1.8</v>
      </c>
      <c r="F210" s="9"/>
      <c r="G210" s="1">
        <f>((Fórmulas!C$7/Fórmulas!D$7)/Fórmulas!E$7)*E210</f>
        <v>5.1428571428571432</v>
      </c>
      <c r="H210" s="1">
        <f>G210*Fórmulas!B$9</f>
        <v>1800.0000000000002</v>
      </c>
      <c r="I210" s="7">
        <f>E210/Fórmulas!E$7</f>
        <v>3</v>
      </c>
      <c r="J210" s="17">
        <f>G210*Fórmulas!B$10</f>
        <v>3085.7142857142858</v>
      </c>
      <c r="K210" s="1">
        <v>1</v>
      </c>
      <c r="L210" s="1">
        <f>((Fórmulas!C$6/Fórmulas!D$6)/0.7)*K210</f>
        <v>2.4489795918367347</v>
      </c>
      <c r="M210" s="1">
        <f>L210*Fórmulas!D$6</f>
        <v>857.14285714285711</v>
      </c>
    </row>
    <row r="211" spans="1:13" x14ac:dyDescent="0.25">
      <c r="A211" s="9" t="s">
        <v>448</v>
      </c>
      <c r="B211" s="25" t="s">
        <v>451</v>
      </c>
      <c r="C211" s="25"/>
      <c r="D211" s="25"/>
      <c r="E211" s="9">
        <v>1.8</v>
      </c>
      <c r="F211" s="9"/>
      <c r="G211" s="1">
        <f>((Fórmulas!C$7/Fórmulas!D$7)/Fórmulas!E$7)*E211</f>
        <v>5.1428571428571432</v>
      </c>
      <c r="H211" s="1">
        <f>G211*Fórmulas!B$9</f>
        <v>1800.0000000000002</v>
      </c>
      <c r="I211" s="7">
        <f>E211/Fórmulas!E$7</f>
        <v>3</v>
      </c>
      <c r="J211" s="17">
        <f>G211*Fórmulas!B$10</f>
        <v>3085.7142857142858</v>
      </c>
      <c r="K211" s="1">
        <v>1</v>
      </c>
      <c r="L211" s="1">
        <f>((Fórmulas!C$6/Fórmulas!D$6)/0.7)*K211</f>
        <v>2.4489795918367347</v>
      </c>
      <c r="M211" s="1">
        <f>L211*Fórmulas!D$6</f>
        <v>857.14285714285711</v>
      </c>
    </row>
    <row r="212" spans="1:13" x14ac:dyDescent="0.25">
      <c r="A212" s="9" t="s">
        <v>448</v>
      </c>
      <c r="B212" s="25" t="s">
        <v>452</v>
      </c>
      <c r="C212" s="25"/>
      <c r="D212" s="25"/>
      <c r="E212" s="9">
        <v>1.2</v>
      </c>
      <c r="F212" s="9"/>
      <c r="G212" s="1">
        <f>((Fórmulas!C$7/Fórmulas!D$7)/Fórmulas!E$7)*E212</f>
        <v>3.4285714285714284</v>
      </c>
      <c r="H212" s="1">
        <f>G212*Fórmulas!B$9</f>
        <v>1200</v>
      </c>
      <c r="I212" s="7">
        <f>E212/Fórmulas!E$7</f>
        <v>2</v>
      </c>
      <c r="J212" s="17">
        <f>G212*Fórmulas!B$10</f>
        <v>2057.1428571428569</v>
      </c>
      <c r="K212" s="1">
        <v>1</v>
      </c>
      <c r="L212" s="1">
        <f>((Fórmulas!C$6/Fórmulas!D$6)/0.7)*K212</f>
        <v>2.4489795918367347</v>
      </c>
      <c r="M212" s="1">
        <f>L212*Fórmulas!D$6</f>
        <v>857.14285714285711</v>
      </c>
    </row>
    <row r="213" spans="1:13" x14ac:dyDescent="0.25">
      <c r="A213" s="9" t="s">
        <v>448</v>
      </c>
      <c r="B213" s="25" t="s">
        <v>453</v>
      </c>
      <c r="C213" s="25"/>
      <c r="D213" s="25"/>
      <c r="E213" s="9">
        <v>1.8</v>
      </c>
      <c r="F213" s="9"/>
      <c r="G213" s="1">
        <f>((Fórmulas!C$7/Fórmulas!D$7)/Fórmulas!E$7)*E213</f>
        <v>5.1428571428571432</v>
      </c>
      <c r="H213" s="1">
        <f>G213*Fórmulas!B$9</f>
        <v>1800.0000000000002</v>
      </c>
      <c r="I213" s="7">
        <f>E213/Fórmulas!E$7</f>
        <v>3</v>
      </c>
      <c r="J213" s="17">
        <f>G213*Fórmulas!B$10</f>
        <v>3085.7142857142858</v>
      </c>
      <c r="K213" s="1">
        <v>1</v>
      </c>
      <c r="L213" s="1">
        <f>((Fórmulas!C$6/Fórmulas!D$6)/0.7)*K213</f>
        <v>2.4489795918367347</v>
      </c>
      <c r="M213" s="1">
        <f>L213*Fórmulas!D$6</f>
        <v>857.14285714285711</v>
      </c>
    </row>
    <row r="214" spans="1:13" x14ac:dyDescent="0.25">
      <c r="A214" s="9"/>
      <c r="B214" s="25"/>
      <c r="C214" s="25"/>
      <c r="D214" s="25"/>
      <c r="E214" s="9">
        <v>0</v>
      </c>
      <c r="F214" s="9"/>
      <c r="G214" s="1">
        <f>((Fórmulas!C$7/Fórmulas!D$7)/Fórmulas!E$7)*E214</f>
        <v>0</v>
      </c>
      <c r="H214" s="1">
        <f>G214*Fórmulas!B$9</f>
        <v>0</v>
      </c>
      <c r="I214" s="7">
        <f>E214/Fórmulas!E$7</f>
        <v>0</v>
      </c>
      <c r="J214" s="17">
        <f>G214*Fórmulas!B$10</f>
        <v>0</v>
      </c>
      <c r="K214" s="1">
        <v>1</v>
      </c>
      <c r="L214" s="1">
        <f>((Fórmulas!C$6/Fórmulas!D$6)/0.7)*K214</f>
        <v>2.4489795918367347</v>
      </c>
      <c r="M214" s="1">
        <f>L214*Fórmulas!D$6</f>
        <v>857.14285714285711</v>
      </c>
    </row>
    <row r="215" spans="1:13" x14ac:dyDescent="0.25">
      <c r="A215" s="9"/>
      <c r="B215" s="25"/>
      <c r="C215" s="25"/>
      <c r="D215" s="25"/>
      <c r="E215" s="9">
        <v>0</v>
      </c>
      <c r="F215" s="9"/>
      <c r="G215" s="1">
        <f>((Fórmulas!C$7/Fórmulas!D$7)/Fórmulas!E$7)*E215</f>
        <v>0</v>
      </c>
      <c r="H215" s="1">
        <f>G215*Fórmulas!B$9</f>
        <v>0</v>
      </c>
      <c r="I215" s="7">
        <f>E215/Fórmulas!E$7</f>
        <v>0</v>
      </c>
      <c r="J215" s="17">
        <f>G215*Fórmulas!B$10</f>
        <v>0</v>
      </c>
      <c r="K215" s="1">
        <v>1</v>
      </c>
      <c r="L215" s="1">
        <f>((Fórmulas!C$6/Fórmulas!D$6)/0.7)*K215</f>
        <v>2.4489795918367347</v>
      </c>
      <c r="M215" s="1">
        <f>L215*Fórmulas!D$6</f>
        <v>857.14285714285711</v>
      </c>
    </row>
    <row r="216" spans="1:13" x14ac:dyDescent="0.25">
      <c r="A216" s="9"/>
      <c r="B216" s="25"/>
      <c r="C216" s="25"/>
      <c r="D216" s="25"/>
      <c r="E216" s="9">
        <v>0</v>
      </c>
      <c r="F216" s="9"/>
      <c r="G216" s="1">
        <f>((Fórmulas!C$7/Fórmulas!D$7)/Fórmulas!E$7)*E216</f>
        <v>0</v>
      </c>
      <c r="H216" s="1">
        <f>G216*Fórmulas!B$9</f>
        <v>0</v>
      </c>
      <c r="I216" s="7">
        <f>E216/Fórmulas!E$7</f>
        <v>0</v>
      </c>
      <c r="J216" s="17">
        <f>G216*Fórmulas!B$10</f>
        <v>0</v>
      </c>
      <c r="K216" s="1">
        <v>1</v>
      </c>
      <c r="L216" s="1">
        <f>((Fórmulas!C$6/Fórmulas!D$6)/0.7)*K216</f>
        <v>2.4489795918367347</v>
      </c>
      <c r="M216" s="1">
        <f>L216*Fórmulas!D$6</f>
        <v>857.14285714285711</v>
      </c>
    </row>
    <row r="217" spans="1:13" x14ac:dyDescent="0.25">
      <c r="A217" s="9"/>
      <c r="B217" s="25"/>
      <c r="C217" s="25"/>
      <c r="D217" s="25"/>
      <c r="E217" s="9">
        <v>0</v>
      </c>
      <c r="F217" s="9"/>
      <c r="G217" s="1">
        <f>((Fórmulas!C$7/Fórmulas!D$7)/Fórmulas!E$7)*E217</f>
        <v>0</v>
      </c>
      <c r="H217" s="1">
        <f>G217*Fórmulas!B$9</f>
        <v>0</v>
      </c>
      <c r="I217" s="7">
        <f>E217/Fórmulas!E$7</f>
        <v>0</v>
      </c>
      <c r="J217" s="17">
        <f>G217*Fórmulas!B$10</f>
        <v>0</v>
      </c>
      <c r="K217" s="1">
        <v>1</v>
      </c>
      <c r="L217" s="1">
        <f>((Fórmulas!C$6/Fórmulas!D$6)/0.7)*K217</f>
        <v>2.4489795918367347</v>
      </c>
      <c r="M217" s="1">
        <f>L217*Fórmulas!D$6</f>
        <v>857.14285714285711</v>
      </c>
    </row>
    <row r="218" spans="1:13" x14ac:dyDescent="0.25">
      <c r="A218" s="9"/>
      <c r="B218" s="25"/>
      <c r="C218" s="25"/>
      <c r="D218" s="25"/>
      <c r="E218" s="9">
        <v>0</v>
      </c>
      <c r="F218" s="9"/>
      <c r="G218" s="1">
        <f>((Fórmulas!C$7/Fórmulas!D$7)/Fórmulas!E$7)*E218</f>
        <v>0</v>
      </c>
      <c r="H218" s="1">
        <f>G218*Fórmulas!B$9</f>
        <v>0</v>
      </c>
      <c r="I218" s="7">
        <f>E218/Fórmulas!E$7</f>
        <v>0</v>
      </c>
      <c r="J218" s="17">
        <f>G218*Fórmulas!B$10</f>
        <v>0</v>
      </c>
      <c r="K218" s="1">
        <v>1</v>
      </c>
      <c r="L218" s="1">
        <f>((Fórmulas!C$6/Fórmulas!D$6)/0.7)*K218</f>
        <v>2.4489795918367347</v>
      </c>
      <c r="M218" s="1">
        <f>L218*Fórmulas!D$6</f>
        <v>857.14285714285711</v>
      </c>
    </row>
    <row r="219" spans="1:13" x14ac:dyDescent="0.25">
      <c r="A219" s="9"/>
      <c r="B219" s="25"/>
      <c r="C219" s="25"/>
      <c r="D219" s="25"/>
      <c r="E219" s="9">
        <v>0</v>
      </c>
      <c r="F219" s="9"/>
      <c r="G219" s="1">
        <f>((Fórmulas!C$7/Fórmulas!D$7)/Fórmulas!E$7)*E219</f>
        <v>0</v>
      </c>
      <c r="H219" s="1">
        <f>G219*Fórmulas!B$9</f>
        <v>0</v>
      </c>
      <c r="I219" s="7">
        <f>E219/Fórmulas!E$7</f>
        <v>0</v>
      </c>
      <c r="J219" s="17">
        <f>G219*Fórmulas!B$10</f>
        <v>0</v>
      </c>
      <c r="K219" s="1">
        <v>1</v>
      </c>
      <c r="L219" s="1">
        <f>((Fórmulas!C$6/Fórmulas!D$6)/0.7)*K219</f>
        <v>2.4489795918367347</v>
      </c>
      <c r="M219" s="1">
        <f>L219*Fórmulas!D$6</f>
        <v>857.14285714285711</v>
      </c>
    </row>
    <row r="220" spans="1:13" x14ac:dyDescent="0.25">
      <c r="A220" s="9"/>
      <c r="B220" s="25"/>
      <c r="C220" s="25"/>
      <c r="D220" s="25"/>
      <c r="E220" s="9">
        <v>0</v>
      </c>
      <c r="F220" s="9"/>
      <c r="G220" s="1">
        <f>((Fórmulas!C$7/Fórmulas!D$7)/Fórmulas!E$7)*E220</f>
        <v>0</v>
      </c>
      <c r="H220" s="1">
        <f>G220*Fórmulas!B$9</f>
        <v>0</v>
      </c>
      <c r="I220" s="7">
        <f>E220/Fórmulas!E$7</f>
        <v>0</v>
      </c>
      <c r="J220" s="17">
        <f>G220*Fórmulas!B$10</f>
        <v>0</v>
      </c>
      <c r="K220" s="1">
        <v>1</v>
      </c>
      <c r="L220" s="1">
        <f>((Fórmulas!C$6/Fórmulas!D$6)/0.7)*K220</f>
        <v>2.4489795918367347</v>
      </c>
      <c r="M220" s="1">
        <f>L220*Fórmulas!D$6</f>
        <v>857.14285714285711</v>
      </c>
    </row>
    <row r="221" spans="1:13" x14ac:dyDescent="0.25">
      <c r="A221" s="9"/>
      <c r="B221" s="25"/>
      <c r="C221" s="25"/>
      <c r="D221" s="25"/>
      <c r="E221" s="9">
        <v>0</v>
      </c>
      <c r="F221" s="9"/>
      <c r="G221" s="1">
        <f>((Fórmulas!C$7/Fórmulas!D$7)/Fórmulas!E$7)*E221</f>
        <v>0</v>
      </c>
      <c r="H221" s="1">
        <f>G221*Fórmulas!B$9</f>
        <v>0</v>
      </c>
      <c r="I221" s="7">
        <f>E221/Fórmulas!E$7</f>
        <v>0</v>
      </c>
      <c r="J221" s="17">
        <f>G221*Fórmulas!B$10</f>
        <v>0</v>
      </c>
      <c r="K221" s="1">
        <v>1</v>
      </c>
      <c r="L221" s="1">
        <f>((Fórmulas!C$6/Fórmulas!D$6)/0.7)*K221</f>
        <v>2.4489795918367347</v>
      </c>
      <c r="M221" s="1">
        <f>L221*Fórmulas!D$6</f>
        <v>857.14285714285711</v>
      </c>
    </row>
    <row r="222" spans="1:13" x14ac:dyDescent="0.25">
      <c r="A222" s="9"/>
      <c r="B222" s="25"/>
      <c r="C222" s="25"/>
      <c r="D222" s="25"/>
      <c r="E222" s="9">
        <v>0</v>
      </c>
      <c r="F222" s="9"/>
      <c r="G222" s="1">
        <f>((Fórmulas!C$7/Fórmulas!D$7)/Fórmulas!E$7)*E222</f>
        <v>0</v>
      </c>
      <c r="H222" s="1">
        <f>G222*Fórmulas!B$9</f>
        <v>0</v>
      </c>
      <c r="I222" s="7">
        <f>E222/Fórmulas!E$7</f>
        <v>0</v>
      </c>
      <c r="J222" s="17">
        <f>G222*Fórmulas!B$10</f>
        <v>0</v>
      </c>
      <c r="K222" s="1">
        <v>1</v>
      </c>
      <c r="L222" s="1">
        <f>((Fórmulas!C$6/Fórmulas!D$6)/0.7)*K222</f>
        <v>2.4489795918367347</v>
      </c>
      <c r="M222" s="1">
        <f>L222*Fórmulas!D$6</f>
        <v>857.14285714285711</v>
      </c>
    </row>
    <row r="223" spans="1:13" x14ac:dyDescent="0.25">
      <c r="A223" s="9"/>
      <c r="B223" s="28" t="s">
        <v>221</v>
      </c>
      <c r="C223" s="28"/>
      <c r="D223" s="28"/>
      <c r="E223" s="9"/>
      <c r="F223" s="9"/>
      <c r="G223" s="1">
        <f>((Fórmulas!C$7/Fórmulas!D$7)/Fórmulas!E$7)*E223</f>
        <v>0</v>
      </c>
      <c r="H223" s="1">
        <f>G223*Fórmulas!B$9</f>
        <v>0</v>
      </c>
      <c r="I223" s="7">
        <f>E223/Fórmulas!E$7</f>
        <v>0</v>
      </c>
      <c r="J223" s="17">
        <f>G223*Fórmulas!B$10</f>
        <v>0</v>
      </c>
      <c r="K223" s="1"/>
      <c r="L223" s="1"/>
      <c r="M223" s="1"/>
    </row>
    <row r="224" spans="1:13" x14ac:dyDescent="0.25">
      <c r="A224" s="9" t="s">
        <v>192</v>
      </c>
      <c r="B224" s="25" t="s">
        <v>193</v>
      </c>
      <c r="C224" s="25"/>
      <c r="D224" s="25"/>
      <c r="E224" s="9">
        <v>2.4</v>
      </c>
      <c r="F224" s="9"/>
      <c r="G224" s="1">
        <f>((Fórmulas!C$7/Fórmulas!D$7)/Fórmulas!E$7)*E224</f>
        <v>6.8571428571428568</v>
      </c>
      <c r="H224" s="1">
        <f>G224*Fórmulas!B$9</f>
        <v>2400</v>
      </c>
      <c r="I224" s="7">
        <f>E224/Fórmulas!E$7</f>
        <v>4</v>
      </c>
      <c r="J224" s="17">
        <f>G224*Fórmulas!B$10</f>
        <v>4114.2857142857138</v>
      </c>
      <c r="K224" s="1">
        <v>1</v>
      </c>
      <c r="L224" s="1">
        <f>((Fórmulas!C$6/Fórmulas!D$6)/0.7)*K224</f>
        <v>2.4489795918367347</v>
      </c>
      <c r="M224" s="1">
        <f>L224*Fórmulas!D$6</f>
        <v>857.14285714285711</v>
      </c>
    </row>
    <row r="225" spans="1:13" x14ac:dyDescent="0.25">
      <c r="A225" s="9" t="s">
        <v>192</v>
      </c>
      <c r="B225" s="25" t="s">
        <v>194</v>
      </c>
      <c r="C225" s="25"/>
      <c r="D225" s="25"/>
      <c r="E225" s="9">
        <v>2.4</v>
      </c>
      <c r="F225" s="9"/>
      <c r="G225" s="1">
        <f>((Fórmulas!C$7/Fórmulas!D$7)/Fórmulas!E$7)*E225</f>
        <v>6.8571428571428568</v>
      </c>
      <c r="H225" s="1">
        <f>G225*Fórmulas!B$9</f>
        <v>2400</v>
      </c>
      <c r="I225" s="7">
        <f>E225/Fórmulas!E$7</f>
        <v>4</v>
      </c>
      <c r="J225" s="17">
        <f>G225*Fórmulas!B$10</f>
        <v>4114.2857142857138</v>
      </c>
      <c r="K225" s="1">
        <v>1</v>
      </c>
      <c r="L225" s="1">
        <f>((Fórmulas!C$6/Fórmulas!D$6)/0.7)*K225</f>
        <v>2.4489795918367347</v>
      </c>
      <c r="M225" s="1">
        <f>L225*Fórmulas!D$6</f>
        <v>857.14285714285711</v>
      </c>
    </row>
    <row r="226" spans="1:13" x14ac:dyDescent="0.25">
      <c r="A226" s="9" t="s">
        <v>192</v>
      </c>
      <c r="B226" s="25" t="s">
        <v>197</v>
      </c>
      <c r="C226" s="25"/>
      <c r="D226" s="25"/>
      <c r="E226" s="9">
        <v>2.4</v>
      </c>
      <c r="F226" s="9"/>
      <c r="G226" s="1">
        <f>((Fórmulas!C$7/Fórmulas!D$7)/Fórmulas!E$7)*E226</f>
        <v>6.8571428571428568</v>
      </c>
      <c r="H226" s="1">
        <f>G226*Fórmulas!B$9</f>
        <v>2400</v>
      </c>
      <c r="I226" s="7">
        <f>E226/Fórmulas!E$7</f>
        <v>4</v>
      </c>
      <c r="J226" s="17">
        <f>G226*Fórmulas!B$10</f>
        <v>4114.2857142857138</v>
      </c>
      <c r="K226" s="1">
        <v>1</v>
      </c>
      <c r="L226" s="1">
        <f>((Fórmulas!C$6/Fórmulas!D$6)/0.7)*K226</f>
        <v>2.4489795918367347</v>
      </c>
      <c r="M226" s="1">
        <f>L226*Fórmulas!D$6</f>
        <v>857.14285714285711</v>
      </c>
    </row>
    <row r="227" spans="1:13" x14ac:dyDescent="0.25">
      <c r="A227" s="9" t="s">
        <v>192</v>
      </c>
      <c r="B227" s="25" t="s">
        <v>195</v>
      </c>
      <c r="C227" s="25"/>
      <c r="D227" s="25"/>
      <c r="E227" s="9">
        <v>2.4</v>
      </c>
      <c r="F227" s="9"/>
      <c r="G227" s="1">
        <f>((Fórmulas!C$7/Fórmulas!D$7)/Fórmulas!E$7)*E227</f>
        <v>6.8571428571428568</v>
      </c>
      <c r="H227" s="1">
        <f>G227*Fórmulas!B$9</f>
        <v>2400</v>
      </c>
      <c r="I227" s="7">
        <f>E227/Fórmulas!E$7</f>
        <v>4</v>
      </c>
      <c r="J227" s="17">
        <f>G227*Fórmulas!B$10</f>
        <v>4114.2857142857138</v>
      </c>
      <c r="K227" s="1">
        <v>1</v>
      </c>
      <c r="L227" s="1">
        <f>((Fórmulas!C$6/Fórmulas!D$6)/0.7)*K227</f>
        <v>2.4489795918367347</v>
      </c>
      <c r="M227" s="1">
        <f>L227*Fórmulas!D$6</f>
        <v>857.14285714285711</v>
      </c>
    </row>
    <row r="228" spans="1:13" x14ac:dyDescent="0.25">
      <c r="A228" s="9"/>
      <c r="B228" s="25"/>
      <c r="C228" s="25"/>
      <c r="D228" s="25"/>
      <c r="E228" s="9">
        <v>0</v>
      </c>
      <c r="F228" s="9"/>
      <c r="G228" s="1">
        <f>((Fórmulas!C$7/Fórmulas!D$7)/Fórmulas!E$7)*E228</f>
        <v>0</v>
      </c>
      <c r="H228" s="1">
        <f>G228*Fórmulas!B$9</f>
        <v>0</v>
      </c>
      <c r="I228" s="7">
        <f>E228/Fórmulas!E$7</f>
        <v>0</v>
      </c>
      <c r="J228" s="17">
        <f>G228*Fórmulas!B$10</f>
        <v>0</v>
      </c>
      <c r="K228" s="1">
        <v>1</v>
      </c>
      <c r="L228" s="1">
        <f>((Fórmulas!C$6/Fórmulas!D$6)/0.7)*K228</f>
        <v>2.4489795918367347</v>
      </c>
      <c r="M228" s="1">
        <f>L228*Fórmulas!D$6</f>
        <v>857.14285714285711</v>
      </c>
    </row>
    <row r="229" spans="1:13" x14ac:dyDescent="0.25">
      <c r="A229" s="9" t="s">
        <v>198</v>
      </c>
      <c r="B229" s="25" t="s">
        <v>202</v>
      </c>
      <c r="C229" s="25"/>
      <c r="D229" s="25"/>
      <c r="E229" s="9">
        <v>1.2</v>
      </c>
      <c r="F229" s="9"/>
      <c r="G229" s="1">
        <f>((Fórmulas!C$7/Fórmulas!D$7)/Fórmulas!E$7)*E229</f>
        <v>3.4285714285714284</v>
      </c>
      <c r="H229" s="1">
        <f>G229*Fórmulas!B$9</f>
        <v>1200</v>
      </c>
      <c r="I229" s="7">
        <f>E229/Fórmulas!E$7</f>
        <v>2</v>
      </c>
      <c r="J229" s="17">
        <f>G229*Fórmulas!B$10</f>
        <v>2057.1428571428569</v>
      </c>
      <c r="K229" s="1">
        <v>1</v>
      </c>
      <c r="L229" s="1">
        <f>((Fórmulas!C$6/Fórmulas!D$6)/0.7)*K229</f>
        <v>2.4489795918367347</v>
      </c>
      <c r="M229" s="1">
        <f>L229*Fórmulas!D$6</f>
        <v>857.14285714285711</v>
      </c>
    </row>
    <row r="230" spans="1:13" x14ac:dyDescent="0.25">
      <c r="A230" s="9" t="s">
        <v>198</v>
      </c>
      <c r="B230" s="25" t="s">
        <v>588</v>
      </c>
      <c r="C230" s="25"/>
      <c r="D230" s="25"/>
      <c r="E230" s="9">
        <v>3.6</v>
      </c>
      <c r="F230" s="9"/>
      <c r="G230" s="1">
        <f>((Fórmulas!C$7/Fórmulas!D$7)/Fórmulas!E$7)*E230</f>
        <v>10.285714285714286</v>
      </c>
      <c r="H230" s="1">
        <f>G230*Fórmulas!B$9</f>
        <v>3600.0000000000005</v>
      </c>
      <c r="I230" s="7">
        <f>E230/Fórmulas!E$7</f>
        <v>6</v>
      </c>
      <c r="J230" s="17">
        <f>G230*Fórmulas!B$10</f>
        <v>6171.4285714285716</v>
      </c>
      <c r="K230" s="1">
        <v>1</v>
      </c>
      <c r="L230" s="1">
        <f>((Fórmulas!C$6/Fórmulas!D$6)/0.7)*K230</f>
        <v>2.4489795918367347</v>
      </c>
      <c r="M230" s="1">
        <f>L230*Fórmulas!D$6</f>
        <v>857.14285714285711</v>
      </c>
    </row>
    <row r="231" spans="1:13" x14ac:dyDescent="0.25">
      <c r="A231" s="9" t="s">
        <v>198</v>
      </c>
      <c r="B231" s="25" t="s">
        <v>199</v>
      </c>
      <c r="C231" s="25"/>
      <c r="D231" s="25"/>
      <c r="E231" s="9">
        <v>1.8</v>
      </c>
      <c r="F231" s="9"/>
      <c r="G231" s="1">
        <f>((Fórmulas!C$7/Fórmulas!D$7)/Fórmulas!E$7)*E231</f>
        <v>5.1428571428571432</v>
      </c>
      <c r="H231" s="1">
        <f>G231*Fórmulas!B$9</f>
        <v>1800.0000000000002</v>
      </c>
      <c r="I231" s="7">
        <f>E231/Fórmulas!E$7</f>
        <v>3</v>
      </c>
      <c r="J231" s="17">
        <f>G231*Fórmulas!B$10</f>
        <v>3085.7142857142858</v>
      </c>
      <c r="K231" s="1">
        <v>1</v>
      </c>
      <c r="L231" s="1">
        <f>((Fórmulas!C$6/Fórmulas!D$6)/0.7)*K231</f>
        <v>2.4489795918367347</v>
      </c>
      <c r="M231" s="1">
        <f>L231*Fórmulas!D$6</f>
        <v>857.14285714285711</v>
      </c>
    </row>
    <row r="232" spans="1:13" x14ac:dyDescent="0.25">
      <c r="A232" s="9" t="s">
        <v>198</v>
      </c>
      <c r="B232" s="25" t="s">
        <v>200</v>
      </c>
      <c r="C232" s="25"/>
      <c r="D232" s="25"/>
      <c r="E232" s="9">
        <v>1.8</v>
      </c>
      <c r="F232" s="9"/>
      <c r="G232" s="1">
        <f>((Fórmulas!C$7/Fórmulas!D$7)/Fórmulas!E$7)*E232</f>
        <v>5.1428571428571432</v>
      </c>
      <c r="H232" s="1">
        <f>G232*Fórmulas!B$9</f>
        <v>1800.0000000000002</v>
      </c>
      <c r="I232" s="7">
        <f>E232/Fórmulas!E$7</f>
        <v>3</v>
      </c>
      <c r="J232" s="17">
        <f>G232*Fórmulas!B$10</f>
        <v>3085.7142857142858</v>
      </c>
      <c r="K232" s="1">
        <v>1</v>
      </c>
      <c r="L232" s="1">
        <f>((Fórmulas!C$6/Fórmulas!D$6)/0.7)*K232</f>
        <v>2.4489795918367347</v>
      </c>
      <c r="M232" s="1">
        <f>L232*Fórmulas!D$6</f>
        <v>857.14285714285711</v>
      </c>
    </row>
    <row r="233" spans="1:13" x14ac:dyDescent="0.25">
      <c r="A233" s="9" t="s">
        <v>198</v>
      </c>
      <c r="B233" s="25" t="s">
        <v>201</v>
      </c>
      <c r="C233" s="25"/>
      <c r="D233" s="25"/>
      <c r="E233" s="9">
        <v>1.8</v>
      </c>
      <c r="F233" s="9"/>
      <c r="G233" s="1">
        <f>((Fórmulas!C$7/Fórmulas!D$7)/Fórmulas!E$7)*E233</f>
        <v>5.1428571428571432</v>
      </c>
      <c r="H233" s="1">
        <f>G233*Fórmulas!B$9</f>
        <v>1800.0000000000002</v>
      </c>
      <c r="I233" s="7">
        <f>E233/Fórmulas!E$7</f>
        <v>3</v>
      </c>
      <c r="J233" s="17">
        <f>G233*Fórmulas!B$10</f>
        <v>3085.7142857142858</v>
      </c>
      <c r="K233" s="1">
        <v>1</v>
      </c>
      <c r="L233" s="1">
        <f>((Fórmulas!C$6/Fórmulas!D$6)/0.7)*K233</f>
        <v>2.4489795918367347</v>
      </c>
      <c r="M233" s="1">
        <f>L233*Fórmulas!D$6</f>
        <v>857.14285714285711</v>
      </c>
    </row>
    <row r="234" spans="1:13" x14ac:dyDescent="0.25">
      <c r="A234" s="9" t="s">
        <v>522</v>
      </c>
      <c r="B234" s="25" t="s">
        <v>216</v>
      </c>
      <c r="C234" s="25"/>
      <c r="D234" s="25"/>
      <c r="E234" s="9">
        <v>1.2</v>
      </c>
      <c r="F234" s="9"/>
      <c r="G234" s="1">
        <f>((Fórmulas!C$7/Fórmulas!D$7)/Fórmulas!E$7)*E234</f>
        <v>3.4285714285714284</v>
      </c>
      <c r="H234" s="1">
        <f>G234*Fórmulas!B$9</f>
        <v>1200</v>
      </c>
      <c r="I234" s="7">
        <f>E234/Fórmulas!E$7</f>
        <v>2</v>
      </c>
      <c r="J234" s="17">
        <f>G234*Fórmulas!B$10</f>
        <v>2057.1428571428569</v>
      </c>
      <c r="K234" s="1">
        <v>1</v>
      </c>
      <c r="L234" s="1">
        <f>((Fórmulas!C$6/Fórmulas!D$6)/0.7)*K234</f>
        <v>2.4489795918367347</v>
      </c>
      <c r="M234" s="1">
        <f>L234*Fórmulas!D$6</f>
        <v>857.14285714285711</v>
      </c>
    </row>
    <row r="235" spans="1:13" x14ac:dyDescent="0.25">
      <c r="A235" s="9" t="s">
        <v>522</v>
      </c>
      <c r="B235" s="25" t="s">
        <v>215</v>
      </c>
      <c r="C235" s="25"/>
      <c r="D235" s="25"/>
      <c r="E235" s="9">
        <v>1.2</v>
      </c>
      <c r="F235" s="9"/>
      <c r="G235" s="1">
        <f>((Fórmulas!C$7/Fórmulas!D$7)/Fórmulas!E$7)*E235</f>
        <v>3.4285714285714284</v>
      </c>
      <c r="H235" s="1">
        <f>G235*Fórmulas!B$9</f>
        <v>1200</v>
      </c>
      <c r="I235" s="7">
        <f>E235/Fórmulas!E$7</f>
        <v>2</v>
      </c>
      <c r="J235" s="17">
        <f>G235*Fórmulas!B$10</f>
        <v>2057.1428571428569</v>
      </c>
      <c r="K235" s="1">
        <v>1</v>
      </c>
      <c r="L235" s="1">
        <f>((Fórmulas!C$6/Fórmulas!D$6)/0.7)*K235</f>
        <v>2.4489795918367347</v>
      </c>
      <c r="M235" s="1">
        <f>L235*Fórmulas!D$6</f>
        <v>857.14285714285711</v>
      </c>
    </row>
    <row r="236" spans="1:13" x14ac:dyDescent="0.25">
      <c r="A236" s="9" t="s">
        <v>522</v>
      </c>
      <c r="B236" s="25" t="s">
        <v>217</v>
      </c>
      <c r="C236" s="25"/>
      <c r="D236" s="25"/>
      <c r="E236" s="9">
        <v>1.2</v>
      </c>
      <c r="F236" s="9"/>
      <c r="G236" s="1">
        <f>((Fórmulas!C$7/Fórmulas!D$7)/Fórmulas!E$7)*E236</f>
        <v>3.4285714285714284</v>
      </c>
      <c r="H236" s="1">
        <f>G236*Fórmulas!B$9</f>
        <v>1200</v>
      </c>
      <c r="I236" s="7">
        <f>E236/Fórmulas!E$7</f>
        <v>2</v>
      </c>
      <c r="J236" s="17">
        <f>G236*Fórmulas!B$10</f>
        <v>2057.1428571428569</v>
      </c>
      <c r="K236" s="1">
        <v>1</v>
      </c>
      <c r="L236" s="1">
        <f>((Fórmulas!C$6/Fórmulas!D$6)/0.7)*K236</f>
        <v>2.4489795918367347</v>
      </c>
      <c r="M236" s="1">
        <f>L236*Fórmulas!D$6</f>
        <v>857.14285714285711</v>
      </c>
    </row>
    <row r="237" spans="1:13" x14ac:dyDescent="0.25">
      <c r="A237" s="9" t="s">
        <v>522</v>
      </c>
      <c r="B237" s="25" t="s">
        <v>218</v>
      </c>
      <c r="C237" s="25"/>
      <c r="D237" s="25"/>
      <c r="E237" s="9">
        <v>1.2</v>
      </c>
      <c r="F237" s="9"/>
      <c r="G237" s="1">
        <f>((Fórmulas!C$7/Fórmulas!D$7)/Fórmulas!E$7)*E237</f>
        <v>3.4285714285714284</v>
      </c>
      <c r="H237" s="1">
        <f>G237*Fórmulas!B$9</f>
        <v>1200</v>
      </c>
      <c r="I237" s="7">
        <f>E237/Fórmulas!E$7</f>
        <v>2</v>
      </c>
      <c r="J237" s="17">
        <f>G237*Fórmulas!B$10</f>
        <v>2057.1428571428569</v>
      </c>
      <c r="K237" s="1">
        <v>1</v>
      </c>
      <c r="L237" s="1">
        <f>((Fórmulas!C$6/Fórmulas!D$6)/0.7)*K237</f>
        <v>2.4489795918367347</v>
      </c>
      <c r="M237" s="1">
        <f>L237*Fórmulas!D$6</f>
        <v>857.14285714285711</v>
      </c>
    </row>
    <row r="238" spans="1:13" x14ac:dyDescent="0.25">
      <c r="A238" s="9" t="s">
        <v>306</v>
      </c>
      <c r="B238" s="38" t="s">
        <v>307</v>
      </c>
      <c r="C238" s="38"/>
      <c r="D238" s="38"/>
      <c r="E238" s="9">
        <v>2.5</v>
      </c>
      <c r="F238" s="9"/>
      <c r="G238" s="1">
        <f>((Fórmulas!C$7/Fórmulas!D$7)/Fórmulas!E$7)*E238</f>
        <v>7.1428571428571432</v>
      </c>
      <c r="H238" s="1">
        <f>G238*Fórmulas!B$9</f>
        <v>2500</v>
      </c>
      <c r="I238" s="7">
        <f>E238/Fórmulas!E$7</f>
        <v>4.166666666666667</v>
      </c>
      <c r="J238" s="17">
        <f>G238*Fórmulas!B$10</f>
        <v>4285.7142857142862</v>
      </c>
      <c r="K238" s="1">
        <v>1</v>
      </c>
      <c r="L238" s="1">
        <f>((Fórmulas!C$6/Fórmulas!D$6)/0.7)*K238</f>
        <v>2.4489795918367347</v>
      </c>
      <c r="M238" s="1">
        <f>L238*Fórmulas!D$6</f>
        <v>857.14285714285711</v>
      </c>
    </row>
    <row r="239" spans="1:13" x14ac:dyDescent="0.25">
      <c r="A239" s="9" t="s">
        <v>306</v>
      </c>
      <c r="B239" s="38" t="s">
        <v>308</v>
      </c>
      <c r="C239" s="38"/>
      <c r="D239" s="38"/>
      <c r="E239" s="9">
        <v>4.2</v>
      </c>
      <c r="F239" s="9"/>
      <c r="G239" s="1">
        <f>((Fórmulas!C$7/Fórmulas!D$7)/Fórmulas!E$7)*E239</f>
        <v>12</v>
      </c>
      <c r="H239" s="1">
        <f>G239*Fórmulas!B$9</f>
        <v>4200</v>
      </c>
      <c r="I239" s="7">
        <f>E239/Fórmulas!E$7</f>
        <v>7.0000000000000009</v>
      </c>
      <c r="J239" s="17">
        <f>G239*Fórmulas!B$10</f>
        <v>7200</v>
      </c>
      <c r="K239" s="1">
        <v>1</v>
      </c>
      <c r="L239" s="1">
        <f>((Fórmulas!C$6/Fórmulas!D$6)/0.7)*K239</f>
        <v>2.4489795918367347</v>
      </c>
      <c r="M239" s="1">
        <f>L239*Fórmulas!D$6</f>
        <v>857.14285714285711</v>
      </c>
    </row>
    <row r="240" spans="1:13" x14ac:dyDescent="0.25">
      <c r="A240" s="9" t="s">
        <v>306</v>
      </c>
      <c r="B240" s="38" t="s">
        <v>322</v>
      </c>
      <c r="C240" s="38"/>
      <c r="D240" s="38"/>
      <c r="E240" s="9">
        <v>3.6</v>
      </c>
      <c r="F240" s="9"/>
      <c r="G240" s="1">
        <f>((Fórmulas!C$7/Fórmulas!D$7)/Fórmulas!E$7)*E240</f>
        <v>10.285714285714286</v>
      </c>
      <c r="H240" s="1">
        <f>G240*Fórmulas!B$9</f>
        <v>3600.0000000000005</v>
      </c>
      <c r="I240" s="7">
        <f>E240/Fórmulas!E$7</f>
        <v>6</v>
      </c>
      <c r="J240" s="17">
        <f>G240*Fórmulas!B$10</f>
        <v>6171.4285714285716</v>
      </c>
      <c r="K240" s="1">
        <v>1</v>
      </c>
      <c r="L240" s="1">
        <f>((Fórmulas!C$6/Fórmulas!D$6)/0.7)*K240</f>
        <v>2.4489795918367347</v>
      </c>
      <c r="M240" s="1">
        <f>L240*Fórmulas!D$6</f>
        <v>857.14285714285711</v>
      </c>
    </row>
    <row r="241" spans="1:13" x14ac:dyDescent="0.25">
      <c r="A241" s="9" t="s">
        <v>306</v>
      </c>
      <c r="B241" s="38" t="s">
        <v>462</v>
      </c>
      <c r="C241" s="38"/>
      <c r="D241" s="38"/>
      <c r="E241" s="9">
        <v>4.2</v>
      </c>
      <c r="F241" s="9"/>
      <c r="G241" s="1">
        <f>((Fórmulas!C$7/Fórmulas!D$7)/Fórmulas!E$7)*E241</f>
        <v>12</v>
      </c>
      <c r="H241" s="1">
        <f>G241*Fórmulas!B$9</f>
        <v>4200</v>
      </c>
      <c r="I241" s="7">
        <f>E241/Fórmulas!E$7</f>
        <v>7.0000000000000009</v>
      </c>
      <c r="J241" s="17">
        <f>G241*Fórmulas!B$10</f>
        <v>7200</v>
      </c>
      <c r="K241" s="1">
        <v>1</v>
      </c>
      <c r="L241" s="1">
        <f>((Fórmulas!C$6/Fórmulas!D$6)/0.7)*K241</f>
        <v>2.4489795918367347</v>
      </c>
      <c r="M241" s="1">
        <f>L241*Fórmulas!D$6</f>
        <v>857.14285714285711</v>
      </c>
    </row>
    <row r="242" spans="1:13" x14ac:dyDescent="0.25">
      <c r="A242" s="9"/>
      <c r="B242" s="25"/>
      <c r="C242" s="25"/>
      <c r="D242" s="25"/>
      <c r="E242" s="9">
        <v>0</v>
      </c>
      <c r="F242" s="9"/>
      <c r="G242" s="1">
        <f>((Fórmulas!C$7/Fórmulas!D$7)/Fórmulas!E$7)*E242</f>
        <v>0</v>
      </c>
      <c r="H242" s="1">
        <f>G242*Fórmulas!B$9</f>
        <v>0</v>
      </c>
      <c r="I242" s="7">
        <f>E242/Fórmulas!E$7</f>
        <v>0</v>
      </c>
      <c r="J242" s="17">
        <f>G242*Fórmulas!B$10</f>
        <v>0</v>
      </c>
      <c r="K242" s="1">
        <v>1</v>
      </c>
      <c r="L242" s="1">
        <f>((Fórmulas!C$6/Fórmulas!D$6)/0.7)*K242</f>
        <v>2.4489795918367347</v>
      </c>
      <c r="M242" s="1">
        <f>L242*Fórmulas!D$6</f>
        <v>857.14285714285711</v>
      </c>
    </row>
    <row r="243" spans="1:13" x14ac:dyDescent="0.25">
      <c r="A243" s="9"/>
      <c r="B243" s="25"/>
      <c r="C243" s="25"/>
      <c r="D243" s="25"/>
      <c r="E243" s="9">
        <v>0</v>
      </c>
      <c r="F243" s="9"/>
      <c r="G243" s="1">
        <f>((Fórmulas!C$7/Fórmulas!D$7)/Fórmulas!E$7)*E243</f>
        <v>0</v>
      </c>
      <c r="H243" s="1">
        <f>G243*Fórmulas!B$9</f>
        <v>0</v>
      </c>
      <c r="I243" s="7">
        <f>E243/Fórmulas!E$7</f>
        <v>0</v>
      </c>
      <c r="J243" s="17">
        <f>G243*Fórmulas!B$10</f>
        <v>0</v>
      </c>
      <c r="K243" s="1">
        <v>1</v>
      </c>
      <c r="L243" s="1">
        <f>((Fórmulas!C$6/Fórmulas!D$6)/0.7)*K243</f>
        <v>2.4489795918367347</v>
      </c>
      <c r="M243" s="1">
        <f>L243*Fórmulas!D$6</f>
        <v>857.14285714285711</v>
      </c>
    </row>
    <row r="244" spans="1:13" x14ac:dyDescent="0.25">
      <c r="A244" s="9"/>
      <c r="B244" s="25"/>
      <c r="C244" s="25"/>
      <c r="D244" s="25"/>
      <c r="E244" s="9">
        <v>0</v>
      </c>
      <c r="F244" s="9"/>
      <c r="G244" s="1">
        <f>((Fórmulas!C$7/Fórmulas!D$7)/Fórmulas!E$7)*E244</f>
        <v>0</v>
      </c>
      <c r="H244" s="1">
        <f>G244*Fórmulas!B$9</f>
        <v>0</v>
      </c>
      <c r="I244" s="7">
        <f>E244/Fórmulas!E$7</f>
        <v>0</v>
      </c>
      <c r="J244" s="17">
        <f>G244*Fórmulas!B$10</f>
        <v>0</v>
      </c>
      <c r="K244" s="1">
        <v>1</v>
      </c>
      <c r="L244" s="1">
        <f>((Fórmulas!C$6/Fórmulas!D$6)/0.7)*K244</f>
        <v>2.4489795918367347</v>
      </c>
      <c r="M244" s="1">
        <f>L244*Fórmulas!D$6</f>
        <v>857.14285714285711</v>
      </c>
    </row>
    <row r="245" spans="1:13" x14ac:dyDescent="0.25">
      <c r="A245" s="9"/>
      <c r="B245" s="25"/>
      <c r="C245" s="25"/>
      <c r="D245" s="25"/>
      <c r="E245" s="9">
        <v>0</v>
      </c>
      <c r="F245" s="9"/>
      <c r="G245" s="1">
        <f>((Fórmulas!C$7/Fórmulas!D$7)/Fórmulas!E$7)*E245</f>
        <v>0</v>
      </c>
      <c r="H245" s="1">
        <f>G245*Fórmulas!B$9</f>
        <v>0</v>
      </c>
      <c r="I245" s="7">
        <f>E245/Fórmulas!E$7</f>
        <v>0</v>
      </c>
      <c r="J245" s="17">
        <f>G245*Fórmulas!B$10</f>
        <v>0</v>
      </c>
      <c r="K245" s="1">
        <v>1</v>
      </c>
      <c r="L245" s="1">
        <f>((Fórmulas!C$6/Fórmulas!D$6)/0.7)*K245</f>
        <v>2.4489795918367347</v>
      </c>
      <c r="M245" s="1">
        <f>L245*Fórmulas!D$6</f>
        <v>857.14285714285711</v>
      </c>
    </row>
    <row r="246" spans="1:13" x14ac:dyDescent="0.25">
      <c r="A246" s="9"/>
      <c r="B246" s="25"/>
      <c r="C246" s="25"/>
      <c r="D246" s="25"/>
      <c r="E246" s="9">
        <v>0</v>
      </c>
      <c r="F246" s="9"/>
      <c r="G246" s="1">
        <f>((Fórmulas!C$7/Fórmulas!D$7)/Fórmulas!E$7)*E246</f>
        <v>0</v>
      </c>
      <c r="H246" s="1">
        <f>G246*Fórmulas!B$9</f>
        <v>0</v>
      </c>
      <c r="I246" s="7">
        <f>E246/Fórmulas!E$7</f>
        <v>0</v>
      </c>
      <c r="J246" s="17">
        <f>G246*Fórmulas!B$10</f>
        <v>0</v>
      </c>
      <c r="K246" s="1">
        <v>1</v>
      </c>
      <c r="L246" s="1">
        <f>((Fórmulas!C$6/Fórmulas!D$6)/0.7)*K246</f>
        <v>2.4489795918367347</v>
      </c>
      <c r="M246" s="1">
        <f>L246*Fórmulas!D$6</f>
        <v>857.14285714285711</v>
      </c>
    </row>
    <row r="247" spans="1:13" x14ac:dyDescent="0.25">
      <c r="A247" s="9" t="s">
        <v>537</v>
      </c>
      <c r="B247" s="25" t="s">
        <v>538</v>
      </c>
      <c r="C247" s="25"/>
      <c r="D247" s="25"/>
      <c r="E247" s="9">
        <v>1.8</v>
      </c>
      <c r="F247" s="9"/>
      <c r="G247" s="1">
        <f>((Fórmulas!C$7/Fórmulas!D$7)/Fórmulas!E$7)*E247</f>
        <v>5.1428571428571432</v>
      </c>
      <c r="H247" s="1">
        <f>G247*Fórmulas!B$9</f>
        <v>1800.0000000000002</v>
      </c>
      <c r="I247" s="7">
        <f>E247/Fórmulas!E$7</f>
        <v>3</v>
      </c>
      <c r="J247" s="17">
        <f>G247*Fórmulas!B$10</f>
        <v>3085.7142857142858</v>
      </c>
      <c r="K247" s="1">
        <v>1</v>
      </c>
      <c r="L247" s="1">
        <f>((Fórmulas!C$6/Fórmulas!D$6)/0.7)*K247</f>
        <v>2.4489795918367347</v>
      </c>
      <c r="M247" s="1">
        <f>L247*Fórmulas!D$6</f>
        <v>857.14285714285711</v>
      </c>
    </row>
    <row r="248" spans="1:13" x14ac:dyDescent="0.25">
      <c r="A248" s="9" t="s">
        <v>537</v>
      </c>
      <c r="B248" s="25" t="s">
        <v>539</v>
      </c>
      <c r="C248" s="25"/>
      <c r="D248" s="25"/>
      <c r="E248" s="9">
        <v>1.2</v>
      </c>
      <c r="F248" s="9"/>
      <c r="G248" s="1">
        <f>((Fórmulas!C$7/Fórmulas!D$7)/Fórmulas!E$7)*E248</f>
        <v>3.4285714285714284</v>
      </c>
      <c r="H248" s="1">
        <f>G248*Fórmulas!B$9</f>
        <v>1200</v>
      </c>
      <c r="I248" s="7">
        <f>E248/Fórmulas!E$7</f>
        <v>2</v>
      </c>
      <c r="J248" s="17">
        <f>G248*Fórmulas!B$10</f>
        <v>2057.1428571428569</v>
      </c>
      <c r="K248" s="1">
        <v>1</v>
      </c>
      <c r="L248" s="1">
        <f>((Fórmulas!C$6/Fórmulas!D$6)/0.7)*K248</f>
        <v>2.4489795918367347</v>
      </c>
      <c r="M248" s="1">
        <f>L248*Fórmulas!D$6</f>
        <v>857.14285714285711</v>
      </c>
    </row>
    <row r="249" spans="1:13" x14ac:dyDescent="0.25">
      <c r="A249" s="9" t="s">
        <v>537</v>
      </c>
      <c r="B249" s="25" t="s">
        <v>540</v>
      </c>
      <c r="C249" s="25"/>
      <c r="D249" s="25"/>
      <c r="E249" s="9">
        <v>1.2</v>
      </c>
      <c r="F249" s="9"/>
      <c r="G249" s="1">
        <f>((Fórmulas!C$7/Fórmulas!D$7)/Fórmulas!E$7)*E249</f>
        <v>3.4285714285714284</v>
      </c>
      <c r="H249" s="1">
        <f>G249*Fórmulas!B$9</f>
        <v>1200</v>
      </c>
      <c r="I249" s="7">
        <f>E249/Fórmulas!E$7</f>
        <v>2</v>
      </c>
      <c r="J249" s="17">
        <f>G249*Fórmulas!B$10</f>
        <v>2057.1428571428569</v>
      </c>
      <c r="K249" s="1">
        <v>1</v>
      </c>
      <c r="L249" s="1">
        <f>((Fórmulas!C$6/Fórmulas!D$6)/0.7)*K249</f>
        <v>2.4489795918367347</v>
      </c>
      <c r="M249" s="1">
        <f>L249*Fórmulas!D$6</f>
        <v>857.14285714285711</v>
      </c>
    </row>
    <row r="250" spans="1:13" s="9" customFormat="1" x14ac:dyDescent="0.25">
      <c r="A250" s="9" t="s">
        <v>537</v>
      </c>
      <c r="B250" s="25" t="s">
        <v>544</v>
      </c>
      <c r="C250" s="25"/>
      <c r="D250" s="25"/>
      <c r="E250" s="9">
        <v>1.2</v>
      </c>
      <c r="G250" s="1">
        <f>((Fórmulas!C$7/Fórmulas!D$7)/Fórmulas!E$7)*E250</f>
        <v>3.4285714285714284</v>
      </c>
      <c r="H250" s="1">
        <f>G250*Fórmulas!B$9</f>
        <v>1200</v>
      </c>
      <c r="I250" s="7">
        <f>E250/Fórmulas!E$7</f>
        <v>2</v>
      </c>
      <c r="J250" s="17">
        <f>G250*Fórmulas!B$10</f>
        <v>2057.1428571428569</v>
      </c>
      <c r="K250" s="1">
        <v>1</v>
      </c>
      <c r="L250" s="1">
        <f>((Fórmulas!C$6/Fórmulas!D$6)/0.7)*K250</f>
        <v>2.4489795918367347</v>
      </c>
      <c r="M250" s="1">
        <f>L250*Fórmulas!D$6</f>
        <v>857.14285714285711</v>
      </c>
    </row>
    <row r="251" spans="1:13" s="9" customFormat="1" x14ac:dyDescent="0.25">
      <c r="A251" s="9" t="s">
        <v>537</v>
      </c>
      <c r="B251" s="25" t="s">
        <v>545</v>
      </c>
      <c r="C251" s="25"/>
      <c r="D251" s="25"/>
      <c r="E251" s="9">
        <v>1.2</v>
      </c>
      <c r="G251" s="1">
        <f>((Fórmulas!C$7/Fórmulas!D$7)/Fórmulas!E$7)*E251</f>
        <v>3.4285714285714284</v>
      </c>
      <c r="H251" s="1">
        <f>G251*Fórmulas!B$9</f>
        <v>1200</v>
      </c>
      <c r="I251" s="7">
        <f>E251/Fórmulas!E$7</f>
        <v>2</v>
      </c>
      <c r="J251" s="17">
        <f>G251*Fórmulas!B$10</f>
        <v>2057.1428571428569</v>
      </c>
      <c r="K251" s="1">
        <v>1</v>
      </c>
      <c r="L251" s="1">
        <f>((Fórmulas!C$6/Fórmulas!D$6)/0.7)*K251</f>
        <v>2.4489795918367347</v>
      </c>
      <c r="M251" s="1">
        <f>L251*Fórmulas!D$6</f>
        <v>857.14285714285711</v>
      </c>
    </row>
    <row r="252" spans="1:13" x14ac:dyDescent="0.25">
      <c r="A252" s="9" t="s">
        <v>537</v>
      </c>
      <c r="B252" s="25" t="s">
        <v>541</v>
      </c>
      <c r="C252" s="25"/>
      <c r="D252" s="25"/>
      <c r="E252" s="9">
        <v>1.2</v>
      </c>
      <c r="F252" s="9"/>
      <c r="G252" s="1">
        <f>((Fórmulas!C$7/Fórmulas!D$7)/Fórmulas!E$7)*E252</f>
        <v>3.4285714285714284</v>
      </c>
      <c r="H252" s="1">
        <f>G252*Fórmulas!B$9</f>
        <v>1200</v>
      </c>
      <c r="I252" s="7">
        <f>E252/Fórmulas!E$7</f>
        <v>2</v>
      </c>
      <c r="J252" s="17">
        <f>G252*Fórmulas!B$10</f>
        <v>2057.1428571428569</v>
      </c>
      <c r="K252" s="1">
        <v>1</v>
      </c>
      <c r="L252" s="1">
        <f>((Fórmulas!C$6/Fórmulas!D$6)/0.7)*K252</f>
        <v>2.4489795918367347</v>
      </c>
      <c r="M252" s="1">
        <f>L252*Fórmulas!D$6</f>
        <v>857.14285714285711</v>
      </c>
    </row>
    <row r="253" spans="1:13" x14ac:dyDescent="0.25">
      <c r="A253" s="9" t="s">
        <v>537</v>
      </c>
      <c r="B253" s="25" t="s">
        <v>550</v>
      </c>
      <c r="C253" s="25"/>
      <c r="D253" s="25"/>
      <c r="E253" s="9">
        <v>1.2</v>
      </c>
      <c r="F253" s="9"/>
      <c r="G253" s="1">
        <f>((Fórmulas!C$7/Fórmulas!D$7)/Fórmulas!E$7)*E253</f>
        <v>3.4285714285714284</v>
      </c>
      <c r="H253" s="1">
        <f>G253*Fórmulas!B$9</f>
        <v>1200</v>
      </c>
      <c r="I253" s="7">
        <f>E253/Fórmulas!E$7</f>
        <v>2</v>
      </c>
      <c r="J253" s="17">
        <f>G253*Fórmulas!B$10</f>
        <v>2057.1428571428569</v>
      </c>
      <c r="K253" s="1">
        <v>1</v>
      </c>
      <c r="L253" s="1">
        <f>((Fórmulas!C$6/Fórmulas!D$6)/0.7)*K253</f>
        <v>2.4489795918367347</v>
      </c>
      <c r="M253" s="1">
        <f>L253*Fórmulas!D$6</f>
        <v>857.14285714285711</v>
      </c>
    </row>
    <row r="254" spans="1:13" x14ac:dyDescent="0.25">
      <c r="A254" s="9" t="s">
        <v>537</v>
      </c>
      <c r="B254" s="25" t="s">
        <v>542</v>
      </c>
      <c r="C254" s="25"/>
      <c r="D254" s="25"/>
      <c r="E254" s="9">
        <v>1.2</v>
      </c>
      <c r="F254" s="9"/>
      <c r="G254" s="1">
        <f>((Fórmulas!C$7/Fórmulas!D$7)/Fórmulas!E$7)*E254</f>
        <v>3.4285714285714284</v>
      </c>
      <c r="H254" s="1">
        <f>G254*Fórmulas!B$9</f>
        <v>1200</v>
      </c>
      <c r="I254" s="7">
        <f>E254/Fórmulas!E$7</f>
        <v>2</v>
      </c>
      <c r="J254" s="17">
        <f>G254*Fórmulas!B$10</f>
        <v>2057.1428571428569</v>
      </c>
      <c r="K254" s="1">
        <v>1</v>
      </c>
      <c r="L254" s="1">
        <f>((Fórmulas!C$6/Fórmulas!D$6)/0.7)*K254</f>
        <v>2.4489795918367347</v>
      </c>
      <c r="M254" s="1">
        <f>L254*Fórmulas!D$6</f>
        <v>857.14285714285711</v>
      </c>
    </row>
    <row r="255" spans="1:13" x14ac:dyDescent="0.25">
      <c r="A255" s="9" t="s">
        <v>537</v>
      </c>
      <c r="B255" s="25" t="s">
        <v>543</v>
      </c>
      <c r="C255" s="25"/>
      <c r="D255" s="25"/>
      <c r="E255" s="9">
        <v>1.2</v>
      </c>
      <c r="F255" s="9"/>
      <c r="G255" s="1">
        <f>((Fórmulas!C$7/Fórmulas!D$7)/Fórmulas!E$7)*E255</f>
        <v>3.4285714285714284</v>
      </c>
      <c r="H255" s="1">
        <f>G255*Fórmulas!B$9</f>
        <v>1200</v>
      </c>
      <c r="I255" s="7">
        <f>E255/Fórmulas!E$7</f>
        <v>2</v>
      </c>
      <c r="J255" s="17">
        <f>G255*Fórmulas!B$10</f>
        <v>2057.1428571428569</v>
      </c>
      <c r="K255" s="1">
        <v>1</v>
      </c>
      <c r="L255" s="1">
        <f>((Fórmulas!C$6/Fórmulas!D$6)/0.7)*K255</f>
        <v>2.4489795918367347</v>
      </c>
      <c r="M255" s="1">
        <f>L255*Fórmulas!D$6</f>
        <v>857.14285714285711</v>
      </c>
    </row>
    <row r="256" spans="1:13" x14ac:dyDescent="0.25">
      <c r="A256" s="9" t="s">
        <v>537</v>
      </c>
      <c r="B256" s="25" t="s">
        <v>546</v>
      </c>
      <c r="C256" s="25"/>
      <c r="D256" s="25"/>
      <c r="E256" s="9">
        <v>1.2</v>
      </c>
      <c r="F256" s="9"/>
      <c r="G256" s="1">
        <f>((Fórmulas!C$7/Fórmulas!D$7)/Fórmulas!E$7)*E256</f>
        <v>3.4285714285714284</v>
      </c>
      <c r="H256" s="1">
        <f>G256*Fórmulas!B$9</f>
        <v>1200</v>
      </c>
      <c r="I256" s="7">
        <f>E256/Fórmulas!E$7</f>
        <v>2</v>
      </c>
      <c r="J256" s="17">
        <f>G256*Fórmulas!B$10</f>
        <v>2057.1428571428569</v>
      </c>
      <c r="K256" s="1">
        <v>1</v>
      </c>
      <c r="L256" s="1">
        <f>((Fórmulas!C$6/Fórmulas!D$6)/0.7)*K256</f>
        <v>2.4489795918367347</v>
      </c>
      <c r="M256" s="1">
        <f>L256*Fórmulas!D$6</f>
        <v>857.14285714285711</v>
      </c>
    </row>
    <row r="257" spans="1:13" x14ac:dyDescent="0.25">
      <c r="A257" s="9" t="s">
        <v>537</v>
      </c>
      <c r="B257" s="25" t="s">
        <v>547</v>
      </c>
      <c r="C257" s="25"/>
      <c r="D257" s="25"/>
      <c r="E257" s="9">
        <v>1.2</v>
      </c>
      <c r="F257" s="9"/>
      <c r="G257" s="1">
        <f>((Fórmulas!C$7/Fórmulas!D$7)/Fórmulas!E$7)*E257</f>
        <v>3.4285714285714284</v>
      </c>
      <c r="H257" s="1">
        <f>G257*Fórmulas!B$9</f>
        <v>1200</v>
      </c>
      <c r="I257" s="7">
        <f>E257/Fórmulas!E$7</f>
        <v>2</v>
      </c>
      <c r="J257" s="17">
        <f>G257*Fórmulas!B$10</f>
        <v>2057.1428571428569</v>
      </c>
      <c r="K257" s="1">
        <v>1</v>
      </c>
      <c r="L257" s="1">
        <f>((Fórmulas!C$6/Fórmulas!D$6)/0.7)*K257</f>
        <v>2.4489795918367347</v>
      </c>
      <c r="M257" s="1">
        <f>L257*Fórmulas!D$6</f>
        <v>857.14285714285711</v>
      </c>
    </row>
    <row r="258" spans="1:13" x14ac:dyDescent="0.25">
      <c r="A258" s="9" t="s">
        <v>537</v>
      </c>
      <c r="B258" s="25" t="s">
        <v>549</v>
      </c>
      <c r="C258" s="25"/>
      <c r="D258" s="25"/>
      <c r="E258" s="9">
        <v>1.2</v>
      </c>
      <c r="F258" s="9"/>
      <c r="G258" s="1">
        <f>((Fórmulas!C$7/Fórmulas!D$7)/Fórmulas!E$7)*E258</f>
        <v>3.4285714285714284</v>
      </c>
      <c r="H258" s="1">
        <f>G258*Fórmulas!B$9</f>
        <v>1200</v>
      </c>
      <c r="I258" s="7">
        <f>E258/Fórmulas!E$7</f>
        <v>2</v>
      </c>
      <c r="J258" s="17">
        <f>G258*Fórmulas!B$10</f>
        <v>2057.1428571428569</v>
      </c>
      <c r="K258" s="1">
        <v>1</v>
      </c>
      <c r="L258" s="1">
        <f>((Fórmulas!C$6/Fórmulas!D$6)/0.7)*K258</f>
        <v>2.4489795918367347</v>
      </c>
      <c r="M258" s="1">
        <f>L258*Fórmulas!D$6</f>
        <v>857.14285714285711</v>
      </c>
    </row>
    <row r="259" spans="1:13" x14ac:dyDescent="0.25">
      <c r="A259" s="9" t="s">
        <v>537</v>
      </c>
      <c r="B259" s="25" t="s">
        <v>548</v>
      </c>
      <c r="C259" s="25"/>
      <c r="D259" s="25"/>
      <c r="E259" s="9">
        <v>1.2</v>
      </c>
      <c r="F259" s="9"/>
      <c r="G259" s="1">
        <f>((Fórmulas!C$7/Fórmulas!D$7)/Fórmulas!E$7)*E259</f>
        <v>3.4285714285714284</v>
      </c>
      <c r="H259" s="1">
        <f>G259*Fórmulas!B$9</f>
        <v>1200</v>
      </c>
      <c r="I259" s="7">
        <f>E259/Fórmulas!E$7</f>
        <v>2</v>
      </c>
      <c r="J259" s="17">
        <f>G259*Fórmulas!B$10</f>
        <v>2057.1428571428569</v>
      </c>
      <c r="K259" s="1">
        <v>1</v>
      </c>
      <c r="L259" s="1">
        <f>((Fórmulas!C$6/Fórmulas!D$6)/0.7)*K259</f>
        <v>2.4489795918367347</v>
      </c>
      <c r="M259" s="1">
        <f>L259*Fórmulas!D$6</f>
        <v>857.14285714285711</v>
      </c>
    </row>
    <row r="260" spans="1:13" x14ac:dyDescent="0.25">
      <c r="A260" s="9" t="s">
        <v>537</v>
      </c>
      <c r="B260" s="25" t="s">
        <v>551</v>
      </c>
      <c r="C260" s="25"/>
      <c r="D260" s="25"/>
      <c r="E260" s="9">
        <v>1.2</v>
      </c>
      <c r="F260" s="9"/>
      <c r="G260" s="1">
        <f>((Fórmulas!C$7/Fórmulas!D$7)/Fórmulas!E$7)*E260</f>
        <v>3.4285714285714284</v>
      </c>
      <c r="H260" s="1">
        <f>G260*Fórmulas!B$9</f>
        <v>1200</v>
      </c>
      <c r="I260" s="7">
        <f>E260/Fórmulas!E$7</f>
        <v>2</v>
      </c>
      <c r="J260" s="17">
        <f>G260*Fórmulas!B$10</f>
        <v>2057.1428571428569</v>
      </c>
      <c r="K260" s="1">
        <v>1</v>
      </c>
      <c r="L260" s="1">
        <f>((Fórmulas!C$6/Fórmulas!D$6)/0.7)*K260</f>
        <v>2.4489795918367347</v>
      </c>
      <c r="M260" s="1">
        <f>L260*Fórmulas!D$6</f>
        <v>857.14285714285711</v>
      </c>
    </row>
    <row r="261" spans="1:13" x14ac:dyDescent="0.25">
      <c r="A261" s="9"/>
      <c r="B261" s="25"/>
      <c r="C261" s="25"/>
      <c r="D261" s="25"/>
      <c r="E261" s="9">
        <v>0</v>
      </c>
      <c r="F261" s="9"/>
      <c r="G261" s="1">
        <f>((Fórmulas!C$7/Fórmulas!D$7)/Fórmulas!E$7)*E261</f>
        <v>0</v>
      </c>
      <c r="H261" s="1">
        <f>G261*Fórmulas!B$9</f>
        <v>0</v>
      </c>
      <c r="I261" s="7">
        <f>E261/Fórmulas!E$7</f>
        <v>0</v>
      </c>
      <c r="J261" s="17">
        <f>G261*Fórmulas!B$10</f>
        <v>0</v>
      </c>
      <c r="K261" s="1">
        <v>1</v>
      </c>
      <c r="L261" s="1">
        <f>((Fórmulas!C$6/Fórmulas!D$6)/0.7)*K261</f>
        <v>2.4489795918367347</v>
      </c>
      <c r="M261" s="1">
        <f>L261*Fórmulas!D$6</f>
        <v>857.14285714285711</v>
      </c>
    </row>
    <row r="262" spans="1:13" x14ac:dyDescent="0.25">
      <c r="A262" s="9"/>
      <c r="B262" s="25"/>
      <c r="C262" s="25"/>
      <c r="D262" s="25"/>
      <c r="E262" s="9">
        <v>0</v>
      </c>
      <c r="F262" s="9"/>
      <c r="G262" s="1">
        <f>((Fórmulas!C$7/Fórmulas!D$7)/Fórmulas!E$7)*E262</f>
        <v>0</v>
      </c>
      <c r="H262" s="1">
        <f>G262*Fórmulas!B$9</f>
        <v>0</v>
      </c>
      <c r="I262" s="7">
        <f>E262/Fórmulas!E$7</f>
        <v>0</v>
      </c>
      <c r="J262" s="17">
        <f>G262*Fórmulas!B$10</f>
        <v>0</v>
      </c>
      <c r="K262" s="1">
        <v>1</v>
      </c>
      <c r="L262" s="1">
        <f>((Fórmulas!C$6/Fórmulas!D$6)/0.7)*K262</f>
        <v>2.4489795918367347</v>
      </c>
      <c r="M262" s="1">
        <f>L262*Fórmulas!D$6</f>
        <v>857.14285714285711</v>
      </c>
    </row>
    <row r="263" spans="1:13" x14ac:dyDescent="0.25">
      <c r="A263" s="9" t="s">
        <v>662</v>
      </c>
      <c r="B263" s="25" t="s">
        <v>663</v>
      </c>
      <c r="C263" s="25"/>
      <c r="D263" s="25"/>
      <c r="E263" s="9">
        <v>2.5</v>
      </c>
      <c r="F263" s="9"/>
      <c r="G263" s="1">
        <f>((Fórmulas!C$7/Fórmulas!D$7)/Fórmulas!E$7)*E263</f>
        <v>7.1428571428571432</v>
      </c>
      <c r="H263" s="1">
        <f>G263*Fórmulas!B$9</f>
        <v>2500</v>
      </c>
      <c r="I263" s="7">
        <f>E263/Fórmulas!E$7</f>
        <v>4.166666666666667</v>
      </c>
      <c r="J263" s="17">
        <f>G263*Fórmulas!B$10</f>
        <v>4285.7142857142862</v>
      </c>
      <c r="K263" s="1">
        <v>1</v>
      </c>
      <c r="L263" s="1">
        <f>((Fórmulas!C$6/Fórmulas!D$6)/0.7)*K263</f>
        <v>2.4489795918367347</v>
      </c>
      <c r="M263" s="1">
        <f>L263*Fórmulas!D$6</f>
        <v>857.14285714285711</v>
      </c>
    </row>
    <row r="264" spans="1:13" x14ac:dyDescent="0.25">
      <c r="A264" s="11" t="s">
        <v>662</v>
      </c>
      <c r="B264" s="25" t="s">
        <v>666</v>
      </c>
      <c r="C264" s="25"/>
      <c r="D264" s="25"/>
      <c r="E264" s="9">
        <v>2</v>
      </c>
      <c r="F264" s="9"/>
      <c r="G264" s="1">
        <f>((Fórmulas!C$7/Fórmulas!D$7)/Fórmulas!E$7)*E264</f>
        <v>5.7142857142857144</v>
      </c>
      <c r="H264" s="1">
        <f>G264*Fórmulas!B$9</f>
        <v>2000</v>
      </c>
      <c r="I264" s="7">
        <f>E264/Fórmulas!E$7</f>
        <v>3.3333333333333335</v>
      </c>
      <c r="J264" s="17">
        <f>G264*Fórmulas!B$10</f>
        <v>3428.5714285714284</v>
      </c>
      <c r="K264" s="1">
        <v>1</v>
      </c>
      <c r="L264" s="1">
        <f>((Fórmulas!C$6/Fórmulas!D$6)/0.7)*K264</f>
        <v>2.4489795918367347</v>
      </c>
      <c r="M264" s="1">
        <f>L264*Fórmulas!D$6</f>
        <v>857.14285714285711</v>
      </c>
    </row>
    <row r="265" spans="1:13" x14ac:dyDescent="0.25">
      <c r="A265" s="11" t="s">
        <v>662</v>
      </c>
      <c r="B265" s="25" t="s">
        <v>667</v>
      </c>
      <c r="C265" s="25"/>
      <c r="D265" s="25"/>
      <c r="E265" s="9">
        <v>3</v>
      </c>
      <c r="F265" s="9"/>
      <c r="G265" s="1">
        <f>((Fórmulas!C$7/Fórmulas!D$7)/Fórmulas!E$7)*E265</f>
        <v>8.5714285714285712</v>
      </c>
      <c r="H265" s="1">
        <f>G265*Fórmulas!B$9</f>
        <v>3000</v>
      </c>
      <c r="I265" s="7">
        <f>E265/Fórmulas!E$7</f>
        <v>5</v>
      </c>
      <c r="J265" s="17">
        <f>G265*Fórmulas!B$10</f>
        <v>5142.8571428571431</v>
      </c>
      <c r="K265" s="1">
        <v>1</v>
      </c>
      <c r="L265" s="1">
        <f>((Fórmulas!C$6/Fórmulas!D$6)/0.7)*K265</f>
        <v>2.4489795918367347</v>
      </c>
      <c r="M265" s="1">
        <f>L265*Fórmulas!D$6</f>
        <v>857.14285714285711</v>
      </c>
    </row>
    <row r="266" spans="1:13" x14ac:dyDescent="0.25">
      <c r="A266" s="11" t="s">
        <v>662</v>
      </c>
      <c r="B266" s="25" t="s">
        <v>664</v>
      </c>
      <c r="C266" s="25"/>
      <c r="D266" s="25"/>
      <c r="E266" s="9">
        <v>3</v>
      </c>
      <c r="F266" s="9"/>
      <c r="G266" s="1">
        <f>((Fórmulas!C$7/Fórmulas!D$7)/Fórmulas!E$7)*E266</f>
        <v>8.5714285714285712</v>
      </c>
      <c r="H266" s="1">
        <f>G266*Fórmulas!B$9</f>
        <v>3000</v>
      </c>
      <c r="I266" s="7">
        <f>E266/Fórmulas!E$7</f>
        <v>5</v>
      </c>
      <c r="J266" s="17">
        <f>G266*Fórmulas!B$10</f>
        <v>5142.8571428571431</v>
      </c>
      <c r="K266" s="1">
        <v>1</v>
      </c>
      <c r="L266" s="1">
        <f>((Fórmulas!C$6/Fórmulas!D$6)/0.7)*K266</f>
        <v>2.4489795918367347</v>
      </c>
      <c r="M266" s="1">
        <f>L266*Fórmulas!D$6</f>
        <v>857.14285714285711</v>
      </c>
    </row>
    <row r="267" spans="1:13" x14ac:dyDescent="0.25">
      <c r="A267" s="11" t="s">
        <v>662</v>
      </c>
      <c r="B267" s="25" t="s">
        <v>665</v>
      </c>
      <c r="C267" s="25"/>
      <c r="D267" s="25"/>
      <c r="E267" s="9">
        <v>3</v>
      </c>
      <c r="F267" s="9"/>
      <c r="G267" s="1">
        <f>((Fórmulas!C$7/Fórmulas!D$7)/Fórmulas!E$7)*E267</f>
        <v>8.5714285714285712</v>
      </c>
      <c r="H267" s="1">
        <f>G267*Fórmulas!B$9</f>
        <v>3000</v>
      </c>
      <c r="I267" s="7">
        <f>E267/Fórmulas!E$7</f>
        <v>5</v>
      </c>
      <c r="J267" s="17">
        <f>G267*Fórmulas!B$10</f>
        <v>5142.8571428571431</v>
      </c>
      <c r="K267" s="1">
        <v>1</v>
      </c>
      <c r="L267" s="1">
        <f>((Fórmulas!C$6/Fórmulas!D$6)/0.7)*K267</f>
        <v>2.4489795918367347</v>
      </c>
      <c r="M267" s="1">
        <f>L267*Fórmulas!D$6</f>
        <v>857.14285714285711</v>
      </c>
    </row>
    <row r="268" spans="1:13" x14ac:dyDescent="0.25">
      <c r="A268" s="9"/>
      <c r="B268" s="25"/>
      <c r="C268" s="25"/>
      <c r="D268" s="25"/>
      <c r="E268" s="9">
        <v>0</v>
      </c>
      <c r="F268" s="9"/>
      <c r="G268" s="1">
        <f>((Fórmulas!C$7/Fórmulas!D$7)/Fórmulas!E$7)*E268</f>
        <v>0</v>
      </c>
      <c r="H268" s="1">
        <f>G268*Fórmulas!B$9</f>
        <v>0</v>
      </c>
      <c r="I268" s="7">
        <f>E268/Fórmulas!E$7</f>
        <v>0</v>
      </c>
      <c r="J268" s="17">
        <f>G268*Fórmulas!B$10</f>
        <v>0</v>
      </c>
      <c r="K268" s="1">
        <v>1</v>
      </c>
      <c r="L268" s="1">
        <f>((Fórmulas!C$6/Fórmulas!D$6)/0.7)*K268</f>
        <v>2.4489795918367347</v>
      </c>
      <c r="M268" s="1">
        <f>L268*Fórmulas!D$6</f>
        <v>857.14285714285711</v>
      </c>
    </row>
    <row r="269" spans="1:13" x14ac:dyDescent="0.25">
      <c r="A269" s="9"/>
      <c r="B269" s="25"/>
      <c r="C269" s="25"/>
      <c r="D269" s="25"/>
      <c r="E269" s="9">
        <v>0</v>
      </c>
      <c r="F269" s="9"/>
      <c r="G269" s="1">
        <f>((Fórmulas!C$7/Fórmulas!D$7)/Fórmulas!E$7)*E269</f>
        <v>0</v>
      </c>
      <c r="H269" s="1">
        <f>G269*Fórmulas!B$9</f>
        <v>0</v>
      </c>
      <c r="I269" s="7">
        <f>E269/Fórmulas!E$7</f>
        <v>0</v>
      </c>
      <c r="J269" s="17">
        <f>G269*Fórmulas!B$10</f>
        <v>0</v>
      </c>
      <c r="K269" s="1">
        <v>1</v>
      </c>
      <c r="L269" s="1">
        <f>((Fórmulas!C$6/Fórmulas!D$6)/0.7)*K269</f>
        <v>2.4489795918367347</v>
      </c>
      <c r="M269" s="1">
        <f>L269*Fórmulas!D$6</f>
        <v>857.14285714285711</v>
      </c>
    </row>
    <row r="270" spans="1:13" x14ac:dyDescent="0.25">
      <c r="A270" s="9" t="s">
        <v>692</v>
      </c>
      <c r="B270" s="25" t="s">
        <v>663</v>
      </c>
      <c r="C270" s="25"/>
      <c r="D270" s="25"/>
      <c r="E270" s="9">
        <v>2.5</v>
      </c>
      <c r="F270" s="9"/>
      <c r="G270" s="1">
        <f>((Fórmulas!C$7/Fórmulas!D$7)/Fórmulas!E$7)*E270</f>
        <v>7.1428571428571432</v>
      </c>
      <c r="H270" s="1">
        <f>G270*Fórmulas!B$9</f>
        <v>2500</v>
      </c>
      <c r="I270" s="7">
        <f>E270/Fórmulas!E$7</f>
        <v>4.166666666666667</v>
      </c>
      <c r="J270" s="17">
        <f>G270*Fórmulas!B$10</f>
        <v>4285.7142857142862</v>
      </c>
      <c r="K270" s="1">
        <v>1</v>
      </c>
      <c r="L270" s="1">
        <f>((Fórmulas!C$6/Fórmulas!D$6)/0.7)*K270</f>
        <v>2.4489795918367347</v>
      </c>
      <c r="M270" s="1">
        <f>L270*Fórmulas!D$6</f>
        <v>857.14285714285711</v>
      </c>
    </row>
    <row r="271" spans="1:13" x14ac:dyDescent="0.25">
      <c r="A271" s="11" t="s">
        <v>692</v>
      </c>
      <c r="B271" s="25" t="s">
        <v>693</v>
      </c>
      <c r="C271" s="25"/>
      <c r="D271" s="25"/>
      <c r="E271" s="9">
        <v>2.5</v>
      </c>
      <c r="F271" s="9"/>
      <c r="G271" s="1">
        <f>((Fórmulas!C$7/Fórmulas!D$7)/Fórmulas!E$7)*E271</f>
        <v>7.1428571428571432</v>
      </c>
      <c r="H271" s="1">
        <f>G271*Fórmulas!B$9</f>
        <v>2500</v>
      </c>
      <c r="I271" s="7">
        <f>E271/Fórmulas!E$7</f>
        <v>4.166666666666667</v>
      </c>
      <c r="J271" s="17">
        <f>G271*Fórmulas!B$10</f>
        <v>4285.7142857142862</v>
      </c>
      <c r="K271" s="1">
        <v>1</v>
      </c>
      <c r="L271" s="1">
        <f>((Fórmulas!C$6/Fórmulas!D$6)/0.7)*K271</f>
        <v>2.4489795918367347</v>
      </c>
      <c r="M271" s="1">
        <f>L271*Fórmulas!D$6</f>
        <v>857.14285714285711</v>
      </c>
    </row>
    <row r="272" spans="1:13" x14ac:dyDescent="0.25">
      <c r="A272" s="9"/>
      <c r="B272" s="25"/>
      <c r="C272" s="25"/>
      <c r="D272" s="25"/>
      <c r="E272" s="9">
        <v>0</v>
      </c>
      <c r="F272" s="9"/>
      <c r="G272" s="1">
        <f>((Fórmulas!C$7/Fórmulas!D$7)/Fórmulas!E$7)*E272</f>
        <v>0</v>
      </c>
      <c r="H272" s="1">
        <f>G272*Fórmulas!B$9</f>
        <v>0</v>
      </c>
      <c r="I272" s="7">
        <f>E272/Fórmulas!E$7</f>
        <v>0</v>
      </c>
      <c r="J272" s="17">
        <f>G272*Fórmulas!B$10</f>
        <v>0</v>
      </c>
      <c r="K272" s="1">
        <v>1</v>
      </c>
      <c r="L272" s="1">
        <f>((Fórmulas!C$6/Fórmulas!D$6)/0.7)*K272</f>
        <v>2.4489795918367347</v>
      </c>
      <c r="M272" s="1">
        <f>L272*Fórmulas!D$6</f>
        <v>857.14285714285711</v>
      </c>
    </row>
    <row r="273" spans="1:13" x14ac:dyDescent="0.25">
      <c r="A273" s="9"/>
      <c r="B273" s="25"/>
      <c r="C273" s="25"/>
      <c r="D273" s="25"/>
      <c r="E273" s="9">
        <v>0</v>
      </c>
      <c r="F273" s="9"/>
      <c r="G273" s="1">
        <f>((Fórmulas!C$7/Fórmulas!D$7)/Fórmulas!E$7)*E273</f>
        <v>0</v>
      </c>
      <c r="H273" s="1">
        <f>G273*Fórmulas!B$9</f>
        <v>0</v>
      </c>
      <c r="I273" s="7">
        <f>E273/Fórmulas!E$7</f>
        <v>0</v>
      </c>
      <c r="J273" s="17">
        <f>G273*Fórmulas!B$10</f>
        <v>0</v>
      </c>
      <c r="K273" s="1">
        <v>1</v>
      </c>
      <c r="L273" s="1">
        <f>((Fórmulas!C$6/Fórmulas!D$6)/0.7)*K273</f>
        <v>2.4489795918367347</v>
      </c>
      <c r="M273" s="1">
        <f>L273*Fórmulas!D$6</f>
        <v>857.14285714285711</v>
      </c>
    </row>
    <row r="274" spans="1:13" x14ac:dyDescent="0.25">
      <c r="A274" s="9"/>
      <c r="B274" s="25"/>
      <c r="C274" s="25"/>
      <c r="D274" s="25"/>
      <c r="E274" s="9">
        <v>0</v>
      </c>
      <c r="F274" s="9"/>
      <c r="G274" s="1">
        <f>((Fórmulas!C$7/Fórmulas!D$7)/Fórmulas!E$7)*E274</f>
        <v>0</v>
      </c>
      <c r="H274" s="1">
        <f>G274*Fórmulas!B$9</f>
        <v>0</v>
      </c>
      <c r="I274" s="7">
        <f>E274/Fórmulas!E$7</f>
        <v>0</v>
      </c>
      <c r="J274" s="17">
        <f>G274*Fórmulas!B$10</f>
        <v>0</v>
      </c>
      <c r="K274" s="1">
        <v>1</v>
      </c>
      <c r="L274" s="1">
        <f>((Fórmulas!C$6/Fórmulas!D$6)/0.7)*K274</f>
        <v>2.4489795918367347</v>
      </c>
      <c r="M274" s="1">
        <f>L274*Fórmulas!D$6</f>
        <v>857.14285714285711</v>
      </c>
    </row>
    <row r="275" spans="1:13" x14ac:dyDescent="0.25">
      <c r="A275" s="9"/>
      <c r="B275" s="25"/>
      <c r="C275" s="25"/>
      <c r="D275" s="25"/>
      <c r="E275" s="9">
        <v>0</v>
      </c>
      <c r="F275" s="9"/>
      <c r="G275" s="1">
        <f>((Fórmulas!C$7/Fórmulas!D$7)/Fórmulas!E$7)*E275</f>
        <v>0</v>
      </c>
      <c r="H275" s="1">
        <f>G275*Fórmulas!B$9</f>
        <v>0</v>
      </c>
      <c r="I275" s="7">
        <f>E275/Fórmulas!E$7</f>
        <v>0</v>
      </c>
      <c r="J275" s="17">
        <f>G275*Fórmulas!B$10</f>
        <v>0</v>
      </c>
      <c r="K275" s="1"/>
      <c r="L275" s="1"/>
      <c r="M275" s="1"/>
    </row>
    <row r="276" spans="1:13" x14ac:dyDescent="0.25">
      <c r="A276" s="9"/>
      <c r="B276" s="25"/>
      <c r="C276" s="25"/>
      <c r="D276" s="25"/>
      <c r="E276" s="9">
        <v>0</v>
      </c>
      <c r="F276" s="9"/>
      <c r="G276" s="1">
        <f>((Fórmulas!C$7/Fórmulas!D$7)/Fórmulas!E$7)*E276</f>
        <v>0</v>
      </c>
      <c r="H276" s="1">
        <f>G276*Fórmulas!B$9</f>
        <v>0</v>
      </c>
      <c r="I276" s="7">
        <f>E276/Fórmulas!E$7</f>
        <v>0</v>
      </c>
      <c r="J276" s="17">
        <f>G276*Fórmulas!B$10</f>
        <v>0</v>
      </c>
      <c r="K276" s="1"/>
      <c r="L276" s="1"/>
      <c r="M276" s="1"/>
    </row>
    <row r="277" spans="1:13" x14ac:dyDescent="0.25">
      <c r="A277" s="9"/>
      <c r="B277" s="25"/>
      <c r="C277" s="25"/>
      <c r="D277" s="25"/>
      <c r="E277" s="9">
        <v>0</v>
      </c>
      <c r="F277" s="9"/>
      <c r="G277" s="1">
        <f>((Fórmulas!C$7/Fórmulas!D$7)/Fórmulas!E$7)*E277</f>
        <v>0</v>
      </c>
      <c r="H277" s="1">
        <f>G277*Fórmulas!B$9</f>
        <v>0</v>
      </c>
      <c r="I277" s="7">
        <f>E277/Fórmulas!E$7</f>
        <v>0</v>
      </c>
      <c r="J277" s="17">
        <f>G277*Fórmulas!B$10</f>
        <v>0</v>
      </c>
      <c r="K277" s="1">
        <v>1</v>
      </c>
      <c r="L277" s="1">
        <f>((Fórmulas!C$6/Fórmulas!D$6)/0.7)*K277</f>
        <v>2.4489795918367347</v>
      </c>
      <c r="M277" s="1">
        <f>L277*Fórmulas!D$6</f>
        <v>857.14285714285711</v>
      </c>
    </row>
    <row r="278" spans="1:13" x14ac:dyDescent="0.25">
      <c r="A278" s="9"/>
      <c r="B278" s="28" t="s">
        <v>182</v>
      </c>
      <c r="C278" s="28"/>
      <c r="D278" s="28"/>
      <c r="E278" s="9"/>
      <c r="F278" s="9"/>
      <c r="G278" s="1">
        <f>((Fórmulas!C$7/Fórmulas!D$7)/Fórmulas!E$7)*E278</f>
        <v>0</v>
      </c>
      <c r="H278" s="1">
        <f>G278*Fórmulas!B$9</f>
        <v>0</v>
      </c>
      <c r="I278" s="7">
        <f>E278/Fórmulas!E$7</f>
        <v>0</v>
      </c>
      <c r="J278" s="17">
        <f>G278*Fórmulas!B$10</f>
        <v>0</v>
      </c>
      <c r="K278" s="1"/>
      <c r="L278" s="1"/>
      <c r="M278" s="1"/>
    </row>
    <row r="279" spans="1:13" x14ac:dyDescent="0.25">
      <c r="A279" s="9" t="s">
        <v>180</v>
      </c>
      <c r="B279" s="25" t="s">
        <v>181</v>
      </c>
      <c r="C279" s="25"/>
      <c r="D279" s="25"/>
      <c r="E279" s="9">
        <v>3.6</v>
      </c>
      <c r="F279" s="9"/>
      <c r="G279" s="1">
        <f>((Fórmulas!C$7/Fórmulas!D$7)/Fórmulas!E$7)*E279</f>
        <v>10.285714285714286</v>
      </c>
      <c r="H279" s="1">
        <f>G279*Fórmulas!B$9</f>
        <v>3600.0000000000005</v>
      </c>
      <c r="I279" s="7">
        <f>E279/Fórmulas!E$7</f>
        <v>6</v>
      </c>
      <c r="J279" s="17">
        <f>G279*Fórmulas!B$10</f>
        <v>6171.4285714285716</v>
      </c>
      <c r="K279" s="1">
        <v>1</v>
      </c>
      <c r="L279" s="1">
        <f>((Fórmulas!C$6/Fórmulas!D$6)/0.7)*K279</f>
        <v>2.4489795918367347</v>
      </c>
      <c r="M279" s="1">
        <f>L279*Fórmulas!D$6</f>
        <v>857.14285714285711</v>
      </c>
    </row>
    <row r="280" spans="1:13" x14ac:dyDescent="0.25">
      <c r="A280" s="9" t="s">
        <v>180</v>
      </c>
      <c r="B280" s="25" t="s">
        <v>585</v>
      </c>
      <c r="C280" s="25"/>
      <c r="D280" s="25"/>
      <c r="E280" s="9">
        <v>3.6</v>
      </c>
      <c r="F280" s="9"/>
      <c r="G280" s="1">
        <f>((Fórmulas!C$7/Fórmulas!D$7)/Fórmulas!E$7)*E280</f>
        <v>10.285714285714286</v>
      </c>
      <c r="H280" s="1">
        <f>G280*Fórmulas!B$9</f>
        <v>3600.0000000000005</v>
      </c>
      <c r="I280" s="7">
        <f>E280/Fórmulas!E$7</f>
        <v>6</v>
      </c>
      <c r="J280" s="17">
        <f>G280*Fórmulas!B$10</f>
        <v>6171.4285714285716</v>
      </c>
      <c r="K280" s="1">
        <v>1</v>
      </c>
      <c r="L280" s="1">
        <f>((Fórmulas!C$6/Fórmulas!D$6)/0.7)*K280</f>
        <v>2.4489795918367347</v>
      </c>
      <c r="M280" s="1">
        <f>L280*Fórmulas!D$6</f>
        <v>857.14285714285711</v>
      </c>
    </row>
    <row r="281" spans="1:13" x14ac:dyDescent="0.25">
      <c r="A281" s="9" t="s">
        <v>180</v>
      </c>
      <c r="B281" s="25" t="s">
        <v>461</v>
      </c>
      <c r="C281" s="25"/>
      <c r="D281" s="25"/>
      <c r="E281" s="9">
        <v>3.6</v>
      </c>
      <c r="F281" s="9"/>
      <c r="G281" s="1">
        <f>((Fórmulas!C$7/Fórmulas!D$7)/Fórmulas!E$7)*E281</f>
        <v>10.285714285714286</v>
      </c>
      <c r="H281" s="1">
        <f>G281*Fórmulas!B$9</f>
        <v>3600.0000000000005</v>
      </c>
      <c r="I281" s="7">
        <f>E281/Fórmulas!E$7</f>
        <v>6</v>
      </c>
      <c r="J281" s="17">
        <f>G281*Fórmulas!B$10</f>
        <v>6171.4285714285716</v>
      </c>
      <c r="K281" s="1">
        <v>1</v>
      </c>
      <c r="L281" s="1">
        <f>((Fórmulas!C$6/Fórmulas!D$6)/0.7)*K281</f>
        <v>2.4489795918367347</v>
      </c>
      <c r="M281" s="1">
        <f>L281*Fórmulas!D$6</f>
        <v>857.14285714285711</v>
      </c>
    </row>
    <row r="282" spans="1:13" x14ac:dyDescent="0.25">
      <c r="A282" s="9" t="s">
        <v>180</v>
      </c>
      <c r="B282" s="25" t="s">
        <v>309</v>
      </c>
      <c r="C282" s="25"/>
      <c r="D282" s="25"/>
      <c r="E282" s="9">
        <v>2.4</v>
      </c>
      <c r="F282" s="9"/>
      <c r="G282" s="1">
        <f>((Fórmulas!C$7/Fórmulas!D$7)/Fórmulas!E$7)*E282</f>
        <v>6.8571428571428568</v>
      </c>
      <c r="H282" s="1">
        <f>G282*Fórmulas!B$9</f>
        <v>2400</v>
      </c>
      <c r="I282" s="7">
        <f>E282/Fórmulas!E$7</f>
        <v>4</v>
      </c>
      <c r="J282" s="17">
        <f>G282*Fórmulas!B$10</f>
        <v>4114.2857142857138</v>
      </c>
      <c r="K282" s="1">
        <v>1</v>
      </c>
      <c r="L282" s="1">
        <f>((Fórmulas!C$6/Fórmulas!D$6)/0.7)*K282</f>
        <v>2.4489795918367347</v>
      </c>
      <c r="M282" s="1">
        <f>L282*Fórmulas!D$6</f>
        <v>857.14285714285711</v>
      </c>
    </row>
    <row r="283" spans="1:13" x14ac:dyDescent="0.25">
      <c r="A283" s="9" t="s">
        <v>180</v>
      </c>
      <c r="B283" s="25" t="s">
        <v>310</v>
      </c>
      <c r="C283" s="25"/>
      <c r="D283" s="25"/>
      <c r="E283" s="9">
        <v>1.2</v>
      </c>
      <c r="F283" s="9"/>
      <c r="G283" s="1">
        <f>((Fórmulas!C$7/Fórmulas!D$7)/Fórmulas!E$7)*E283</f>
        <v>3.4285714285714284</v>
      </c>
      <c r="H283" s="1">
        <f>G283*Fórmulas!B$9</f>
        <v>1200</v>
      </c>
      <c r="I283" s="7">
        <f>E283/Fórmulas!E$7</f>
        <v>2</v>
      </c>
      <c r="J283" s="17">
        <f>G283*Fórmulas!B$10</f>
        <v>2057.1428571428569</v>
      </c>
      <c r="K283" s="1">
        <v>1</v>
      </c>
      <c r="L283" s="1">
        <f>((Fórmulas!C$6/Fórmulas!D$6)/0.7)*K283</f>
        <v>2.4489795918367347</v>
      </c>
      <c r="M283" s="1">
        <f>L283*Fórmulas!D$6</f>
        <v>857.14285714285711</v>
      </c>
    </row>
    <row r="284" spans="1:13" x14ac:dyDescent="0.25">
      <c r="A284" s="9" t="s">
        <v>180</v>
      </c>
      <c r="B284" s="25" t="s">
        <v>533</v>
      </c>
      <c r="C284" s="25"/>
      <c r="D284" s="25"/>
      <c r="E284" s="9">
        <v>0.18</v>
      </c>
      <c r="F284" s="9"/>
      <c r="G284" s="1">
        <f>((Fórmulas!C$7/Fórmulas!D$7)/Fórmulas!E$7)*E284</f>
        <v>0.51428571428571423</v>
      </c>
      <c r="H284" s="1">
        <f>G284*Fórmulas!B$9</f>
        <v>179.99999999999997</v>
      </c>
      <c r="I284" s="7">
        <f>E284/Fórmulas!E$7</f>
        <v>0.3</v>
      </c>
      <c r="J284" s="17">
        <f>G284*Fórmulas!B$10</f>
        <v>308.57142857142856</v>
      </c>
      <c r="K284" s="1">
        <v>1</v>
      </c>
      <c r="L284" s="1">
        <f>((Fórmulas!C$6/Fórmulas!D$6)/0.7)*K284</f>
        <v>2.4489795918367347</v>
      </c>
      <c r="M284" s="1">
        <f>L284*Fórmulas!D$6</f>
        <v>857.14285714285711</v>
      </c>
    </row>
    <row r="285" spans="1:13" x14ac:dyDescent="0.25">
      <c r="A285" s="9" t="s">
        <v>180</v>
      </c>
      <c r="B285" s="25" t="s">
        <v>530</v>
      </c>
      <c r="C285" s="25"/>
      <c r="D285" s="25"/>
      <c r="E285" s="9">
        <v>0.36</v>
      </c>
      <c r="F285" s="9"/>
      <c r="G285" s="1">
        <f>((Fórmulas!C$7/Fórmulas!D$7)/Fórmulas!E$7)*E285</f>
        <v>1.0285714285714285</v>
      </c>
      <c r="H285" s="1">
        <f>G285*Fórmulas!B$9</f>
        <v>359.99999999999994</v>
      </c>
      <c r="I285" s="7">
        <f>E285/Fórmulas!E$7</f>
        <v>0.6</v>
      </c>
      <c r="J285" s="17">
        <f>G285*Fórmulas!B$10</f>
        <v>617.14285714285711</v>
      </c>
      <c r="K285" s="1">
        <v>1</v>
      </c>
      <c r="L285" s="1">
        <f>((Fórmulas!C$6/Fórmulas!D$6)/0.7)*K285</f>
        <v>2.4489795918367347</v>
      </c>
      <c r="M285" s="1">
        <f>L285*Fórmulas!D$6</f>
        <v>857.14285714285711</v>
      </c>
    </row>
    <row r="286" spans="1:13" x14ac:dyDescent="0.25">
      <c r="A286" s="9" t="s">
        <v>180</v>
      </c>
      <c r="B286" s="25" t="s">
        <v>531</v>
      </c>
      <c r="C286" s="25"/>
      <c r="D286" s="25"/>
      <c r="E286" s="9">
        <v>0.72</v>
      </c>
      <c r="F286" s="9"/>
      <c r="G286" s="1">
        <f>((Fórmulas!C$7/Fórmulas!D$7)/Fórmulas!E$7)*E286</f>
        <v>2.0571428571428569</v>
      </c>
      <c r="H286" s="1">
        <f>G286*Fórmulas!B$9</f>
        <v>719.99999999999989</v>
      </c>
      <c r="I286" s="7">
        <f>E286/Fórmulas!E$7</f>
        <v>1.2</v>
      </c>
      <c r="J286" s="17">
        <f>G286*Fórmulas!B$10</f>
        <v>1234.2857142857142</v>
      </c>
      <c r="K286" s="1">
        <v>1</v>
      </c>
      <c r="L286" s="1">
        <f>((Fórmulas!C$6/Fórmulas!D$6)/0.7)*K286</f>
        <v>2.4489795918367347</v>
      </c>
      <c r="M286" s="1">
        <f>L286*Fórmulas!D$6</f>
        <v>857.14285714285711</v>
      </c>
    </row>
    <row r="287" spans="1:13" x14ac:dyDescent="0.25">
      <c r="A287" s="9" t="s">
        <v>180</v>
      </c>
      <c r="B287" s="25" t="s">
        <v>532</v>
      </c>
      <c r="C287" s="25"/>
      <c r="D287" s="25"/>
      <c r="E287" s="9">
        <v>3</v>
      </c>
      <c r="F287" s="9"/>
      <c r="G287" s="1">
        <f>((Fórmulas!C$7/Fórmulas!D$7)/Fórmulas!E$7)*E287</f>
        <v>8.5714285714285712</v>
      </c>
      <c r="H287" s="1">
        <f>G287*Fórmulas!B$9</f>
        <v>3000</v>
      </c>
      <c r="I287" s="7">
        <f>E287/Fórmulas!E$7</f>
        <v>5</v>
      </c>
      <c r="J287" s="17">
        <f>G287*Fórmulas!B$10</f>
        <v>5142.8571428571431</v>
      </c>
      <c r="K287" s="1">
        <v>1</v>
      </c>
      <c r="L287" s="1">
        <f>((Fórmulas!C$6/Fórmulas!D$6)/0.7)*K287</f>
        <v>2.4489795918367347</v>
      </c>
      <c r="M287" s="1">
        <f>L287*Fórmulas!D$6</f>
        <v>857.14285714285711</v>
      </c>
    </row>
    <row r="288" spans="1:13" x14ac:dyDescent="0.25">
      <c r="A288" s="9" t="s">
        <v>180</v>
      </c>
      <c r="B288" s="25" t="s">
        <v>534</v>
      </c>
      <c r="C288" s="25"/>
      <c r="D288" s="25"/>
      <c r="E288" s="9">
        <v>3</v>
      </c>
      <c r="F288" s="9"/>
      <c r="G288" s="1">
        <f>((Fórmulas!C$7/Fórmulas!D$7)/Fórmulas!E$7)*E288</f>
        <v>8.5714285714285712</v>
      </c>
      <c r="H288" s="1">
        <f>G288*Fórmulas!B$9</f>
        <v>3000</v>
      </c>
      <c r="I288" s="7">
        <f>E288/Fórmulas!E$7</f>
        <v>5</v>
      </c>
      <c r="J288" s="17">
        <f>G288*Fórmulas!B$10</f>
        <v>5142.8571428571431</v>
      </c>
      <c r="K288" s="1">
        <v>1</v>
      </c>
      <c r="L288" s="1">
        <f>((Fórmulas!C$6/Fórmulas!D$6)/0.7)*K288</f>
        <v>2.4489795918367347</v>
      </c>
      <c r="M288" s="1">
        <f>L288*Fórmulas!D$6</f>
        <v>857.14285714285711</v>
      </c>
    </row>
    <row r="289" spans="1:13" x14ac:dyDescent="0.25">
      <c r="A289" s="9" t="s">
        <v>180</v>
      </c>
      <c r="B289" s="25" t="s">
        <v>535</v>
      </c>
      <c r="C289" s="25"/>
      <c r="D289" s="25"/>
      <c r="E289" s="9">
        <v>3</v>
      </c>
      <c r="F289" s="9"/>
      <c r="G289" s="1">
        <f>((Fórmulas!C$7/Fórmulas!D$7)/Fórmulas!E$7)*E289</f>
        <v>8.5714285714285712</v>
      </c>
      <c r="H289" s="1">
        <f>G289*Fórmulas!B$9</f>
        <v>3000</v>
      </c>
      <c r="I289" s="7">
        <f>E289/Fórmulas!E$7</f>
        <v>5</v>
      </c>
      <c r="J289" s="17">
        <f>G289*Fórmulas!B$10</f>
        <v>5142.8571428571431</v>
      </c>
      <c r="K289" s="1">
        <v>1</v>
      </c>
      <c r="L289" s="1">
        <f>((Fórmulas!C$6/Fórmulas!D$6)/0.7)*K289</f>
        <v>2.4489795918367347</v>
      </c>
      <c r="M289" s="1">
        <f>L289*Fórmulas!D$6</f>
        <v>857.14285714285711</v>
      </c>
    </row>
    <row r="290" spans="1:13" x14ac:dyDescent="0.25">
      <c r="A290" s="9"/>
      <c r="B290" s="25"/>
      <c r="C290" s="25"/>
      <c r="D290" s="25"/>
      <c r="E290" s="9">
        <v>0</v>
      </c>
      <c r="F290" s="9"/>
      <c r="G290" s="1">
        <f>((Fórmulas!C$7/Fórmulas!D$7)/Fórmulas!E$7)*E290</f>
        <v>0</v>
      </c>
      <c r="H290" s="1">
        <f>G290*Fórmulas!B$9</f>
        <v>0</v>
      </c>
      <c r="I290" s="7">
        <f>E290/Fórmulas!E$7</f>
        <v>0</v>
      </c>
      <c r="J290" s="17">
        <f>G290*Fórmulas!B$10</f>
        <v>0</v>
      </c>
      <c r="K290" s="1">
        <v>1</v>
      </c>
      <c r="L290" s="1">
        <f>((Fórmulas!C$6/Fórmulas!D$6)/0.7)*K290</f>
        <v>2.4489795918367347</v>
      </c>
      <c r="M290" s="1">
        <f>L290*Fórmulas!D$6</f>
        <v>857.14285714285711</v>
      </c>
    </row>
    <row r="291" spans="1:13" x14ac:dyDescent="0.25">
      <c r="A291" s="9"/>
      <c r="B291" s="25"/>
      <c r="C291" s="25"/>
      <c r="D291" s="25"/>
      <c r="E291" s="9">
        <v>0</v>
      </c>
      <c r="F291" s="9"/>
      <c r="G291" s="1">
        <f>((Fórmulas!C$7/Fórmulas!D$7)/Fórmulas!E$7)*E291</f>
        <v>0</v>
      </c>
      <c r="H291" s="1">
        <f>G291*Fórmulas!B$9</f>
        <v>0</v>
      </c>
      <c r="I291" s="7">
        <f>E291/Fórmulas!E$7</f>
        <v>0</v>
      </c>
      <c r="J291" s="17">
        <f>G291*Fórmulas!B$10</f>
        <v>0</v>
      </c>
      <c r="K291" s="1">
        <v>1</v>
      </c>
      <c r="L291" s="1">
        <f>((Fórmulas!C$6/Fórmulas!D$6)/0.7)*K291</f>
        <v>2.4489795918367347</v>
      </c>
      <c r="M291" s="1">
        <f>L291*Fórmulas!D$6</f>
        <v>857.14285714285711</v>
      </c>
    </row>
    <row r="292" spans="1:13" x14ac:dyDescent="0.25">
      <c r="A292" s="9"/>
      <c r="B292" s="25"/>
      <c r="C292" s="25"/>
      <c r="D292" s="25"/>
      <c r="E292" s="9">
        <v>0</v>
      </c>
      <c r="F292" s="9"/>
      <c r="G292" s="1">
        <f>((Fórmulas!C$7/Fórmulas!D$7)/Fórmulas!E$7)*E292</f>
        <v>0</v>
      </c>
      <c r="H292" s="1">
        <f>G292*Fórmulas!B$9</f>
        <v>0</v>
      </c>
      <c r="I292" s="7">
        <f>E292/Fórmulas!E$7</f>
        <v>0</v>
      </c>
      <c r="J292" s="17">
        <f>G292*Fórmulas!B$10</f>
        <v>0</v>
      </c>
      <c r="K292" s="1">
        <v>1</v>
      </c>
      <c r="L292" s="1">
        <f>((Fórmulas!C$6/Fórmulas!D$6)/0.7)*K292</f>
        <v>2.4489795918367347</v>
      </c>
      <c r="M292" s="1">
        <f>L292*Fórmulas!D$6</f>
        <v>857.14285714285711</v>
      </c>
    </row>
    <row r="293" spans="1:13" x14ac:dyDescent="0.25">
      <c r="A293" s="9"/>
      <c r="B293" s="25"/>
      <c r="C293" s="25"/>
      <c r="D293" s="25"/>
      <c r="E293" s="9">
        <v>0</v>
      </c>
      <c r="F293" s="9"/>
      <c r="G293" s="1">
        <f>((Fórmulas!C$7/Fórmulas!D$7)/Fórmulas!E$7)*E293</f>
        <v>0</v>
      </c>
      <c r="H293" s="1">
        <f>G293*Fórmulas!B$9</f>
        <v>0</v>
      </c>
      <c r="I293" s="7">
        <f>E293/Fórmulas!E$7</f>
        <v>0</v>
      </c>
      <c r="J293" s="17">
        <f>G293*Fórmulas!B$10</f>
        <v>0</v>
      </c>
      <c r="K293" s="1">
        <v>1</v>
      </c>
      <c r="L293" s="1">
        <f>((Fórmulas!C$6/Fórmulas!D$6)/0.7)*K293</f>
        <v>2.4489795918367347</v>
      </c>
      <c r="M293" s="1">
        <f>L293*Fórmulas!D$6</f>
        <v>857.14285714285711</v>
      </c>
    </row>
    <row r="294" spans="1:13" x14ac:dyDescent="0.25">
      <c r="A294" s="9"/>
      <c r="B294" s="25"/>
      <c r="C294" s="25"/>
      <c r="D294" s="25"/>
      <c r="E294" s="9">
        <v>0</v>
      </c>
      <c r="F294" s="9"/>
      <c r="G294" s="1">
        <f>((Fórmulas!C$7/Fórmulas!D$7)/Fórmulas!E$7)*E294</f>
        <v>0</v>
      </c>
      <c r="H294" s="1">
        <f>G294*Fórmulas!B$9</f>
        <v>0</v>
      </c>
      <c r="I294" s="7">
        <f>E294/Fórmulas!E$7</f>
        <v>0</v>
      </c>
      <c r="J294" s="17">
        <f>G294*Fórmulas!B$10</f>
        <v>0</v>
      </c>
      <c r="K294" s="1">
        <v>1</v>
      </c>
      <c r="L294" s="1">
        <f>((Fórmulas!C$6/Fórmulas!D$6)/0.7)*K294</f>
        <v>2.4489795918367347</v>
      </c>
      <c r="M294" s="1">
        <f>L294*Fórmulas!D$6</f>
        <v>857.14285714285711</v>
      </c>
    </row>
    <row r="295" spans="1:13" x14ac:dyDescent="0.25">
      <c r="A295" s="9"/>
      <c r="B295" s="25"/>
      <c r="C295" s="25"/>
      <c r="D295" s="25"/>
      <c r="E295" s="9">
        <v>0</v>
      </c>
      <c r="F295" s="9"/>
      <c r="G295" s="1">
        <f>((Fórmulas!C$7/Fórmulas!D$7)/Fórmulas!E$7)*E295</f>
        <v>0</v>
      </c>
      <c r="H295" s="1">
        <f>G295*Fórmulas!B$9</f>
        <v>0</v>
      </c>
      <c r="I295" s="7">
        <f>E295/Fórmulas!E$7</f>
        <v>0</v>
      </c>
      <c r="J295" s="17">
        <f>G295*Fórmulas!B$10</f>
        <v>0</v>
      </c>
      <c r="K295" s="1">
        <v>1</v>
      </c>
      <c r="L295" s="1">
        <f>((Fórmulas!C$6/Fórmulas!D$6)/0.7)*K295</f>
        <v>2.4489795918367347</v>
      </c>
      <c r="M295" s="1">
        <f>L295*Fórmulas!D$6</f>
        <v>857.14285714285711</v>
      </c>
    </row>
    <row r="296" spans="1:13" x14ac:dyDescent="0.25">
      <c r="A296" s="9"/>
      <c r="B296" s="25"/>
      <c r="C296" s="25"/>
      <c r="D296" s="25"/>
      <c r="E296" s="9">
        <v>0</v>
      </c>
      <c r="F296" s="9"/>
      <c r="G296" s="1">
        <f>((Fórmulas!C$7/Fórmulas!D$7)/Fórmulas!E$7)*E296</f>
        <v>0</v>
      </c>
      <c r="H296" s="1">
        <f>G296*Fórmulas!B$9</f>
        <v>0</v>
      </c>
      <c r="I296" s="7">
        <f>E296/Fórmulas!E$7</f>
        <v>0</v>
      </c>
      <c r="J296" s="17">
        <f>G296*Fórmulas!B$10</f>
        <v>0</v>
      </c>
      <c r="K296" s="1">
        <v>1</v>
      </c>
      <c r="L296" s="1">
        <f>((Fórmulas!C$6/Fórmulas!D$6)/0.7)*K296</f>
        <v>2.4489795918367347</v>
      </c>
      <c r="M296" s="1">
        <f>L296*Fórmulas!D$6</f>
        <v>857.14285714285711</v>
      </c>
    </row>
    <row r="297" spans="1:13" x14ac:dyDescent="0.25">
      <c r="A297" s="11" t="s">
        <v>179</v>
      </c>
      <c r="B297" s="25" t="s">
        <v>289</v>
      </c>
      <c r="C297" s="25"/>
      <c r="D297" s="25"/>
      <c r="E297" s="11">
        <v>4</v>
      </c>
      <c r="F297" s="9"/>
      <c r="G297" s="1">
        <f>((Fórmulas!C$7/Fórmulas!D$7)/Fórmulas!E$7)*E297</f>
        <v>11.428571428571429</v>
      </c>
      <c r="H297" s="1">
        <f>G297*Fórmulas!B$9</f>
        <v>4000</v>
      </c>
      <c r="I297" s="7">
        <f>E297/Fórmulas!E$7</f>
        <v>6.666666666666667</v>
      </c>
      <c r="J297" s="17">
        <f>G297*Fórmulas!B$10</f>
        <v>6857.1428571428569</v>
      </c>
      <c r="K297" s="1">
        <v>1</v>
      </c>
      <c r="L297" s="1">
        <f>((Fórmulas!C$6/Fórmulas!D$6)/0.7)*K297</f>
        <v>2.4489795918367347</v>
      </c>
      <c r="M297" s="1">
        <f>L297*Fórmulas!D$6</f>
        <v>857.14285714285711</v>
      </c>
    </row>
    <row r="298" spans="1:13" x14ac:dyDescent="0.25">
      <c r="A298" s="11" t="s">
        <v>179</v>
      </c>
      <c r="B298" s="25" t="s">
        <v>290</v>
      </c>
      <c r="C298" s="25"/>
      <c r="D298" s="25"/>
      <c r="E298" s="11">
        <v>4</v>
      </c>
      <c r="F298" s="9"/>
      <c r="G298" s="1">
        <f>((Fórmulas!C$7/Fórmulas!D$7)/Fórmulas!E$7)*E298</f>
        <v>11.428571428571429</v>
      </c>
      <c r="H298" s="1">
        <f>G298*Fórmulas!B$9</f>
        <v>4000</v>
      </c>
      <c r="I298" s="7">
        <f>E298/Fórmulas!E$7</f>
        <v>6.666666666666667</v>
      </c>
      <c r="J298" s="17">
        <f>G298*Fórmulas!B$10</f>
        <v>6857.1428571428569</v>
      </c>
      <c r="K298" s="1">
        <v>1</v>
      </c>
      <c r="L298" s="1">
        <f>((Fórmulas!C$6/Fórmulas!D$6)/0.7)*K298</f>
        <v>2.4489795918367347</v>
      </c>
      <c r="M298" s="1">
        <f>L298*Fórmulas!D$6</f>
        <v>857.14285714285711</v>
      </c>
    </row>
    <row r="299" spans="1:13" x14ac:dyDescent="0.25">
      <c r="A299" s="11" t="s">
        <v>179</v>
      </c>
      <c r="B299" s="25" t="s">
        <v>291</v>
      </c>
      <c r="C299" s="25"/>
      <c r="D299" s="25"/>
      <c r="E299" s="11">
        <v>4.4000000000000004</v>
      </c>
      <c r="F299" s="9"/>
      <c r="G299" s="1">
        <f>((Fórmulas!C$7/Fórmulas!D$7)/Fórmulas!E$7)*E299</f>
        <v>12.571428571428573</v>
      </c>
      <c r="H299" s="1">
        <f>G299*Fórmulas!B$9</f>
        <v>4400.0000000000009</v>
      </c>
      <c r="I299" s="7">
        <f>E299/Fórmulas!E$7</f>
        <v>7.3333333333333339</v>
      </c>
      <c r="J299" s="17">
        <f>G299*Fórmulas!B$10</f>
        <v>7542.857142857144</v>
      </c>
      <c r="K299" s="1">
        <v>1</v>
      </c>
      <c r="L299" s="1">
        <f>((Fórmulas!C$6/Fórmulas!D$6)/0.7)*K299</f>
        <v>2.4489795918367347</v>
      </c>
      <c r="M299" s="1">
        <f>L299*Fórmulas!D$6</f>
        <v>857.14285714285711</v>
      </c>
    </row>
    <row r="300" spans="1:13" x14ac:dyDescent="0.25">
      <c r="A300" s="11" t="s">
        <v>179</v>
      </c>
      <c r="B300" s="25" t="s">
        <v>292</v>
      </c>
      <c r="C300" s="25"/>
      <c r="D300" s="25"/>
      <c r="E300" s="11">
        <v>5.2</v>
      </c>
      <c r="F300" s="9"/>
      <c r="G300" s="1">
        <f>((Fórmulas!C$7/Fórmulas!D$7)/Fórmulas!E$7)*E300</f>
        <v>14.857142857142858</v>
      </c>
      <c r="H300" s="1">
        <f>G300*Fórmulas!B$9</f>
        <v>5200</v>
      </c>
      <c r="I300" s="7">
        <f>E300/Fórmulas!E$7</f>
        <v>8.6666666666666679</v>
      </c>
      <c r="J300" s="17">
        <f>G300*Fórmulas!B$10</f>
        <v>8914.2857142857138</v>
      </c>
      <c r="K300" s="1">
        <v>1</v>
      </c>
      <c r="L300" s="1">
        <f>((Fórmulas!C$6/Fórmulas!D$6)/0.7)*K300</f>
        <v>2.4489795918367347</v>
      </c>
      <c r="M300" s="1">
        <f>L300*Fórmulas!D$6</f>
        <v>857.14285714285711</v>
      </c>
    </row>
    <row r="301" spans="1:13" x14ac:dyDescent="0.25">
      <c r="A301" s="11" t="s">
        <v>179</v>
      </c>
      <c r="B301" s="25" t="s">
        <v>293</v>
      </c>
      <c r="C301" s="25"/>
      <c r="D301" s="25"/>
      <c r="E301" s="11">
        <v>4</v>
      </c>
      <c r="F301" s="9"/>
      <c r="G301" s="1">
        <f>((Fórmulas!C$7/Fórmulas!D$7)/Fórmulas!E$7)*E301</f>
        <v>11.428571428571429</v>
      </c>
      <c r="H301" s="1">
        <f>G301*Fórmulas!B$9</f>
        <v>4000</v>
      </c>
      <c r="I301" s="7">
        <f>E301/Fórmulas!E$7</f>
        <v>6.666666666666667</v>
      </c>
      <c r="J301" s="17">
        <f>G301*Fórmulas!B$10</f>
        <v>6857.1428571428569</v>
      </c>
      <c r="K301" s="1">
        <v>1</v>
      </c>
      <c r="L301" s="1">
        <f>((Fórmulas!C$6/Fórmulas!D$6)/0.7)*K301</f>
        <v>2.4489795918367347</v>
      </c>
      <c r="M301" s="1">
        <f>L301*Fórmulas!D$6</f>
        <v>857.14285714285711</v>
      </c>
    </row>
    <row r="302" spans="1:13" x14ac:dyDescent="0.25">
      <c r="A302" s="11" t="s">
        <v>179</v>
      </c>
      <c r="B302" s="25" t="s">
        <v>294</v>
      </c>
      <c r="C302" s="25"/>
      <c r="D302" s="25"/>
      <c r="E302" s="11">
        <v>4</v>
      </c>
      <c r="F302" s="9"/>
      <c r="G302" s="1">
        <f>((Fórmulas!C$7/Fórmulas!D$7)/Fórmulas!E$7)*E302</f>
        <v>11.428571428571429</v>
      </c>
      <c r="H302" s="1">
        <f>G302*Fórmulas!B$9</f>
        <v>4000</v>
      </c>
      <c r="I302" s="7">
        <f>E302/Fórmulas!E$7</f>
        <v>6.666666666666667</v>
      </c>
      <c r="J302" s="17">
        <f>G302*Fórmulas!B$10</f>
        <v>6857.1428571428569</v>
      </c>
      <c r="K302" s="1">
        <v>1</v>
      </c>
      <c r="L302" s="1">
        <f>((Fórmulas!C$6/Fórmulas!D$6)/0.7)*K302</f>
        <v>2.4489795918367347</v>
      </c>
      <c r="M302" s="1">
        <f>L302*Fórmulas!D$6</f>
        <v>857.14285714285711</v>
      </c>
    </row>
    <row r="303" spans="1:13" x14ac:dyDescent="0.25">
      <c r="A303" s="11" t="s">
        <v>179</v>
      </c>
      <c r="B303" s="25" t="s">
        <v>295</v>
      </c>
      <c r="C303" s="25"/>
      <c r="D303" s="25"/>
      <c r="E303" s="11">
        <v>4</v>
      </c>
      <c r="F303" s="9"/>
      <c r="G303" s="1">
        <f>((Fórmulas!C$7/Fórmulas!D$7)/Fórmulas!E$7)*E303</f>
        <v>11.428571428571429</v>
      </c>
      <c r="H303" s="1">
        <f>G303*Fórmulas!B$9</f>
        <v>4000</v>
      </c>
      <c r="I303" s="7">
        <f>E303/Fórmulas!E$7</f>
        <v>6.666666666666667</v>
      </c>
      <c r="J303" s="17">
        <f>G303*Fórmulas!B$10</f>
        <v>6857.1428571428569</v>
      </c>
      <c r="K303" s="1">
        <v>1</v>
      </c>
      <c r="L303" s="1">
        <f>((Fórmulas!C$6/Fórmulas!D$6)/0.7)*K303</f>
        <v>2.4489795918367347</v>
      </c>
      <c r="M303" s="1">
        <f>L303*Fórmulas!D$6</f>
        <v>857.14285714285711</v>
      </c>
    </row>
    <row r="304" spans="1:13" x14ac:dyDescent="0.25">
      <c r="A304" s="11" t="s">
        <v>179</v>
      </c>
      <c r="B304" s="25" t="s">
        <v>296</v>
      </c>
      <c r="C304" s="25"/>
      <c r="D304" s="25"/>
      <c r="E304" s="11">
        <v>5.2</v>
      </c>
      <c r="F304" s="9"/>
      <c r="G304" s="1">
        <f>((Fórmulas!C$7/Fórmulas!D$7)/Fórmulas!E$7)*E304</f>
        <v>14.857142857142858</v>
      </c>
      <c r="H304" s="1">
        <f>G304*Fórmulas!B$9</f>
        <v>5200</v>
      </c>
      <c r="I304" s="7">
        <f>E304/Fórmulas!E$7</f>
        <v>8.6666666666666679</v>
      </c>
      <c r="J304" s="17">
        <f>G304*Fórmulas!B$10</f>
        <v>8914.2857142857138</v>
      </c>
      <c r="K304" s="1">
        <v>1</v>
      </c>
      <c r="L304" s="1">
        <f>((Fórmulas!C$6/Fórmulas!D$6)/0.7)*K304</f>
        <v>2.4489795918367347</v>
      </c>
      <c r="M304" s="1">
        <f>L304*Fórmulas!D$6</f>
        <v>857.14285714285711</v>
      </c>
    </row>
    <row r="305" spans="1:13" x14ac:dyDescent="0.25">
      <c r="A305" s="11" t="s">
        <v>179</v>
      </c>
      <c r="B305" s="25" t="s">
        <v>297</v>
      </c>
      <c r="C305" s="25"/>
      <c r="D305" s="25"/>
      <c r="E305" s="11">
        <v>3.6</v>
      </c>
      <c r="F305" s="9"/>
      <c r="G305" s="1">
        <f>((Fórmulas!C$7/Fórmulas!D$7)/Fórmulas!E$7)*E305</f>
        <v>10.285714285714286</v>
      </c>
      <c r="H305" s="1">
        <f>G305*Fórmulas!B$9</f>
        <v>3600.0000000000005</v>
      </c>
      <c r="I305" s="7">
        <f>E305/Fórmulas!E$7</f>
        <v>6</v>
      </c>
      <c r="J305" s="17">
        <f>G305*Fórmulas!B$10</f>
        <v>6171.4285714285716</v>
      </c>
      <c r="K305" s="1">
        <v>1</v>
      </c>
      <c r="L305" s="1">
        <f>((Fórmulas!C$6/Fórmulas!D$6)/0.7)*K305</f>
        <v>2.4489795918367347</v>
      </c>
      <c r="M305" s="1">
        <f>L305*Fórmulas!D$6</f>
        <v>857.14285714285711</v>
      </c>
    </row>
    <row r="306" spans="1:13" x14ac:dyDescent="0.25">
      <c r="A306" s="11" t="s">
        <v>179</v>
      </c>
      <c r="B306" s="25" t="s">
        <v>298</v>
      </c>
      <c r="C306" s="25"/>
      <c r="D306" s="25"/>
      <c r="E306" s="11">
        <v>4.8</v>
      </c>
      <c r="F306" s="9"/>
      <c r="G306" s="1">
        <f>((Fórmulas!C$7/Fórmulas!D$7)/Fórmulas!E$7)*E306</f>
        <v>13.714285714285714</v>
      </c>
      <c r="H306" s="1">
        <f>G306*Fórmulas!B$9</f>
        <v>4800</v>
      </c>
      <c r="I306" s="7">
        <f>E306/Fórmulas!E$7</f>
        <v>8</v>
      </c>
      <c r="J306" s="17">
        <f>G306*Fórmulas!B$10</f>
        <v>8228.5714285714275</v>
      </c>
      <c r="K306" s="1">
        <v>1</v>
      </c>
      <c r="L306" s="1">
        <f>((Fórmulas!C$6/Fórmulas!D$6)/0.7)*K306</f>
        <v>2.4489795918367347</v>
      </c>
      <c r="M306" s="1">
        <f>L306*Fórmulas!D$6</f>
        <v>857.14285714285711</v>
      </c>
    </row>
    <row r="307" spans="1:13" x14ac:dyDescent="0.25">
      <c r="A307" s="11" t="s">
        <v>179</v>
      </c>
      <c r="B307" s="25" t="s">
        <v>299</v>
      </c>
      <c r="C307" s="25"/>
      <c r="D307" s="25"/>
      <c r="E307" s="11">
        <v>4.8</v>
      </c>
      <c r="F307" s="9"/>
      <c r="G307" s="1">
        <f>((Fórmulas!C$7/Fórmulas!D$7)/Fórmulas!E$7)*E307</f>
        <v>13.714285714285714</v>
      </c>
      <c r="H307" s="1">
        <f>G307*Fórmulas!B$9</f>
        <v>4800</v>
      </c>
      <c r="I307" s="7">
        <f>E307/Fórmulas!E$7</f>
        <v>8</v>
      </c>
      <c r="J307" s="17">
        <f>G307*Fórmulas!B$10</f>
        <v>8228.5714285714275</v>
      </c>
      <c r="K307" s="1">
        <v>1</v>
      </c>
      <c r="L307" s="1">
        <f>((Fórmulas!C$6/Fórmulas!D$6)/0.7)*K307</f>
        <v>2.4489795918367347</v>
      </c>
      <c r="M307" s="1">
        <f>L307*Fórmulas!D$6</f>
        <v>857.14285714285711</v>
      </c>
    </row>
    <row r="308" spans="1:13" x14ac:dyDescent="0.25">
      <c r="A308" s="11" t="s">
        <v>179</v>
      </c>
      <c r="B308" s="25" t="s">
        <v>300</v>
      </c>
      <c r="C308" s="25"/>
      <c r="D308" s="25"/>
      <c r="E308" s="11">
        <v>4</v>
      </c>
      <c r="F308" s="9"/>
      <c r="G308" s="1">
        <f>((Fórmulas!C$7/Fórmulas!D$7)/Fórmulas!E$7)*E308</f>
        <v>11.428571428571429</v>
      </c>
      <c r="H308" s="1">
        <f>G308*Fórmulas!B$9</f>
        <v>4000</v>
      </c>
      <c r="I308" s="7">
        <f>E308/Fórmulas!E$7</f>
        <v>6.666666666666667</v>
      </c>
      <c r="J308" s="17">
        <f>G308*Fórmulas!B$10</f>
        <v>6857.1428571428569</v>
      </c>
      <c r="K308" s="1">
        <v>1</v>
      </c>
      <c r="L308" s="1">
        <f>((Fórmulas!C$6/Fórmulas!D$6)/0.7)*K308</f>
        <v>2.4489795918367347</v>
      </c>
      <c r="M308" s="1">
        <f>L308*Fórmulas!D$6</f>
        <v>857.14285714285711</v>
      </c>
    </row>
    <row r="309" spans="1:13" x14ac:dyDescent="0.25">
      <c r="A309" s="11" t="s">
        <v>179</v>
      </c>
      <c r="B309" s="25" t="s">
        <v>301</v>
      </c>
      <c r="C309" s="25"/>
      <c r="D309" s="25"/>
      <c r="E309" s="11">
        <v>3.2</v>
      </c>
      <c r="F309" s="9"/>
      <c r="G309" s="1">
        <f>((Fórmulas!C$7/Fórmulas!D$7)/Fórmulas!E$7)*E309</f>
        <v>9.1428571428571441</v>
      </c>
      <c r="H309" s="1">
        <f>G309*Fórmulas!B$9</f>
        <v>3200.0000000000005</v>
      </c>
      <c r="I309" s="7">
        <f>E309/Fórmulas!E$7</f>
        <v>5.3333333333333339</v>
      </c>
      <c r="J309" s="17">
        <f>G309*Fórmulas!B$10</f>
        <v>5485.7142857142862</v>
      </c>
      <c r="K309" s="1">
        <v>1</v>
      </c>
      <c r="L309" s="1">
        <f>((Fórmulas!C$6/Fórmulas!D$6)/0.7)*K309</f>
        <v>2.4489795918367347</v>
      </c>
      <c r="M309" s="1">
        <f>L309*Fórmulas!D$6</f>
        <v>857.14285714285711</v>
      </c>
    </row>
    <row r="310" spans="1:13" x14ac:dyDescent="0.25">
      <c r="A310" s="11" t="s">
        <v>179</v>
      </c>
      <c r="B310" s="25" t="s">
        <v>302</v>
      </c>
      <c r="C310" s="25"/>
      <c r="D310" s="25"/>
      <c r="E310" s="11">
        <v>4</v>
      </c>
      <c r="F310" s="9"/>
      <c r="G310" s="1">
        <f>((Fórmulas!C$7/Fórmulas!D$7)/Fórmulas!E$7)*E310</f>
        <v>11.428571428571429</v>
      </c>
      <c r="H310" s="1">
        <f>G310*Fórmulas!B$9</f>
        <v>4000</v>
      </c>
      <c r="I310" s="7">
        <f>E310/Fórmulas!E$7</f>
        <v>6.666666666666667</v>
      </c>
      <c r="J310" s="17">
        <f>G310*Fórmulas!B$10</f>
        <v>6857.1428571428569</v>
      </c>
      <c r="K310" s="1">
        <v>1</v>
      </c>
      <c r="L310" s="1">
        <f>((Fórmulas!C$6/Fórmulas!D$6)/0.7)*K310</f>
        <v>2.4489795918367347</v>
      </c>
      <c r="M310" s="1">
        <f>L310*Fórmulas!D$6</f>
        <v>857.14285714285711</v>
      </c>
    </row>
    <row r="311" spans="1:13" x14ac:dyDescent="0.25">
      <c r="A311" s="11" t="s">
        <v>179</v>
      </c>
      <c r="B311" s="25" t="s">
        <v>303</v>
      </c>
      <c r="C311" s="25"/>
      <c r="D311" s="25"/>
      <c r="E311" s="11">
        <v>4</v>
      </c>
      <c r="F311" s="9"/>
      <c r="G311" s="1">
        <f>((Fórmulas!C$7/Fórmulas!D$7)/Fórmulas!E$7)*E311</f>
        <v>11.428571428571429</v>
      </c>
      <c r="H311" s="1">
        <f>G311*Fórmulas!B$9</f>
        <v>4000</v>
      </c>
      <c r="I311" s="7">
        <f>E311/Fórmulas!E$7</f>
        <v>6.666666666666667</v>
      </c>
      <c r="J311" s="17">
        <f>G311*Fórmulas!B$10</f>
        <v>6857.1428571428569</v>
      </c>
      <c r="K311" s="1">
        <v>1</v>
      </c>
      <c r="L311" s="1">
        <f>((Fórmulas!C$6/Fórmulas!D$6)/0.7)*K311</f>
        <v>2.4489795918367347</v>
      </c>
      <c r="M311" s="1">
        <f>L311*Fórmulas!D$6</f>
        <v>857.14285714285711</v>
      </c>
    </row>
    <row r="312" spans="1:13" x14ac:dyDescent="0.25">
      <c r="A312" s="11" t="s">
        <v>179</v>
      </c>
      <c r="B312" s="25" t="s">
        <v>304</v>
      </c>
      <c r="C312" s="25"/>
      <c r="D312" s="25"/>
      <c r="E312" s="11">
        <v>2.85</v>
      </c>
      <c r="F312" s="9"/>
      <c r="G312" s="1">
        <f>((Fórmulas!C$7/Fórmulas!D$7)/Fórmulas!E$7)*E312</f>
        <v>8.1428571428571441</v>
      </c>
      <c r="H312" s="1">
        <f>G312*Fórmulas!B$9</f>
        <v>2850.0000000000005</v>
      </c>
      <c r="I312" s="7">
        <f>E312/Fórmulas!E$7</f>
        <v>4.75</v>
      </c>
      <c r="J312" s="17">
        <f>G312*Fórmulas!B$10</f>
        <v>4885.7142857142862</v>
      </c>
      <c r="K312" s="1">
        <v>1</v>
      </c>
      <c r="L312" s="1">
        <f>((Fórmulas!C$6/Fórmulas!D$6)/0.7)*K312</f>
        <v>2.4489795918367347</v>
      </c>
      <c r="M312" s="1">
        <f>L312*Fórmulas!D$6</f>
        <v>857.14285714285711</v>
      </c>
    </row>
    <row r="313" spans="1:13" x14ac:dyDescent="0.25">
      <c r="A313" s="11" t="s">
        <v>179</v>
      </c>
      <c r="B313" s="26" t="s">
        <v>305</v>
      </c>
      <c r="C313" s="26"/>
      <c r="D313" s="26"/>
      <c r="E313" s="11">
        <v>4.8</v>
      </c>
      <c r="F313" s="9"/>
      <c r="G313" s="1">
        <f>((Fórmulas!C$7/Fórmulas!D$7)/Fórmulas!E$7)*E313</f>
        <v>13.714285714285714</v>
      </c>
      <c r="H313" s="1">
        <f>G313*Fórmulas!B$9</f>
        <v>4800</v>
      </c>
      <c r="I313" s="7">
        <f>E313/Fórmulas!E$7</f>
        <v>8</v>
      </c>
      <c r="J313" s="17">
        <f>G313*Fórmulas!B$10</f>
        <v>8228.5714285714275</v>
      </c>
      <c r="K313" s="1">
        <v>1</v>
      </c>
      <c r="L313" s="1">
        <f>((Fórmulas!C$6/Fórmulas!D$6)/0.7)*K313</f>
        <v>2.4489795918367347</v>
      </c>
      <c r="M313" s="1">
        <f>L313*Fórmulas!D$6</f>
        <v>857.14285714285711</v>
      </c>
    </row>
    <row r="314" spans="1:13" x14ac:dyDescent="0.25">
      <c r="A314" s="11" t="s">
        <v>179</v>
      </c>
      <c r="B314" s="25" t="s">
        <v>283</v>
      </c>
      <c r="C314" s="25"/>
      <c r="D314" s="25"/>
      <c r="E314" s="11">
        <v>3.7</v>
      </c>
      <c r="F314" s="9"/>
      <c r="G314" s="1">
        <f>((Fórmulas!C$7/Fórmulas!D$7)/Fórmulas!E$7)*E314</f>
        <v>10.571428571428573</v>
      </c>
      <c r="H314" s="1">
        <f>G314*Fórmulas!B$9</f>
        <v>3700.0000000000005</v>
      </c>
      <c r="I314" s="7">
        <f>E314/Fórmulas!E$7</f>
        <v>6.166666666666667</v>
      </c>
      <c r="J314" s="17">
        <f>G314*Fórmulas!B$10</f>
        <v>6342.857142857144</v>
      </c>
      <c r="K314" s="1">
        <v>1</v>
      </c>
      <c r="L314" s="1">
        <f>((Fórmulas!C$6/Fórmulas!D$6)/0.7)*K314</f>
        <v>2.4489795918367347</v>
      </c>
      <c r="M314" s="1">
        <f>L314*Fórmulas!D$6</f>
        <v>857.14285714285711</v>
      </c>
    </row>
    <row r="315" spans="1:13" x14ac:dyDescent="0.25">
      <c r="A315" s="9" t="s">
        <v>179</v>
      </c>
      <c r="B315" s="26" t="s">
        <v>311</v>
      </c>
      <c r="C315" s="26"/>
      <c r="D315" s="26"/>
      <c r="E315" s="9">
        <v>0.9</v>
      </c>
      <c r="F315" s="9"/>
      <c r="G315" s="1">
        <f>((Fórmulas!C$7/Fórmulas!D$7)/Fórmulas!E$7)*E315</f>
        <v>2.5714285714285716</v>
      </c>
      <c r="H315" s="1">
        <f>G315*Fórmulas!B$9</f>
        <v>900.00000000000011</v>
      </c>
      <c r="I315" s="7">
        <f>E315/Fórmulas!E$7</f>
        <v>1.5</v>
      </c>
      <c r="J315" s="17">
        <f>G315*Fórmulas!B$10</f>
        <v>1542.8571428571429</v>
      </c>
      <c r="K315" s="1">
        <v>1</v>
      </c>
      <c r="L315" s="1">
        <f>((Fórmulas!C$6/Fórmulas!D$6)/0.7)*K315</f>
        <v>2.4489795918367347</v>
      </c>
      <c r="M315" s="1">
        <f>L315*Fórmulas!D$6</f>
        <v>857.14285714285711</v>
      </c>
    </row>
    <row r="316" spans="1:13" x14ac:dyDescent="0.25">
      <c r="A316" s="9"/>
      <c r="B316" s="25"/>
      <c r="C316" s="25"/>
      <c r="D316" s="25"/>
      <c r="E316" s="9">
        <v>0</v>
      </c>
      <c r="F316" s="9"/>
      <c r="G316" s="1">
        <f>((Fórmulas!C$7/Fórmulas!D$7)/Fórmulas!E$7)*E316</f>
        <v>0</v>
      </c>
      <c r="H316" s="1">
        <f>G316*Fórmulas!B$9</f>
        <v>0</v>
      </c>
      <c r="I316" s="7">
        <f>E316/Fórmulas!E$7</f>
        <v>0</v>
      </c>
      <c r="J316" s="17">
        <f>G316*Fórmulas!B$10</f>
        <v>0</v>
      </c>
      <c r="K316" s="1">
        <v>1</v>
      </c>
      <c r="L316" s="1">
        <f>((Fórmulas!C$6/Fórmulas!D$6)/0.7)*K316</f>
        <v>2.4489795918367347</v>
      </c>
      <c r="M316" s="1">
        <f>L316*Fórmulas!D$6</f>
        <v>857.14285714285711</v>
      </c>
    </row>
    <row r="317" spans="1:13" x14ac:dyDescent="0.25">
      <c r="A317" s="9"/>
      <c r="B317" s="25"/>
      <c r="C317" s="25"/>
      <c r="D317" s="25"/>
      <c r="E317" s="9">
        <v>0</v>
      </c>
      <c r="F317" s="9"/>
      <c r="G317" s="1">
        <f>((Fórmulas!C$7/Fórmulas!D$7)/Fórmulas!E$7)*E317</f>
        <v>0</v>
      </c>
      <c r="H317" s="1">
        <f>G317*Fórmulas!B$9</f>
        <v>0</v>
      </c>
      <c r="I317" s="7">
        <f>E317/Fórmulas!E$7</f>
        <v>0</v>
      </c>
      <c r="J317" s="17">
        <f>G317*Fórmulas!B$10</f>
        <v>0</v>
      </c>
      <c r="K317" s="1">
        <v>1</v>
      </c>
      <c r="L317" s="1">
        <f>((Fórmulas!C$6/Fórmulas!D$6)/0.7)*K317</f>
        <v>2.4489795918367347</v>
      </c>
      <c r="M317" s="1">
        <f>L317*Fórmulas!D$6</f>
        <v>857.14285714285711</v>
      </c>
    </row>
    <row r="318" spans="1:13" x14ac:dyDescent="0.25">
      <c r="A318" s="9"/>
      <c r="B318" s="25"/>
      <c r="C318" s="25"/>
      <c r="D318" s="25"/>
      <c r="E318" s="9">
        <v>0</v>
      </c>
      <c r="F318" s="9"/>
      <c r="G318" s="1">
        <f>((Fórmulas!C$7/Fórmulas!D$7)/Fórmulas!E$7)*E318</f>
        <v>0</v>
      </c>
      <c r="H318" s="1">
        <f>G318*Fórmulas!B$9</f>
        <v>0</v>
      </c>
      <c r="I318" s="7">
        <f>E318/Fórmulas!E$7</f>
        <v>0</v>
      </c>
      <c r="J318" s="17">
        <f>G318*Fórmulas!B$10</f>
        <v>0</v>
      </c>
      <c r="K318" s="1">
        <v>1</v>
      </c>
      <c r="L318" s="1">
        <f>((Fórmulas!C$6/Fórmulas!D$6)/0.7)*K318</f>
        <v>2.4489795918367347</v>
      </c>
      <c r="M318" s="1">
        <f>L318*Fórmulas!D$6</f>
        <v>857.14285714285711</v>
      </c>
    </row>
    <row r="319" spans="1:13" x14ac:dyDescent="0.25">
      <c r="A319" s="9" t="s">
        <v>459</v>
      </c>
      <c r="B319" s="26" t="s">
        <v>460</v>
      </c>
      <c r="C319" s="26"/>
      <c r="D319" s="26"/>
      <c r="E319" s="9">
        <v>4.8</v>
      </c>
      <c r="F319" s="9"/>
      <c r="G319" s="1">
        <f>((Fórmulas!C$7/Fórmulas!D$7)/Fórmulas!E$7)*E319</f>
        <v>13.714285714285714</v>
      </c>
      <c r="H319" s="1">
        <f>G319*Fórmulas!B$9</f>
        <v>4800</v>
      </c>
      <c r="I319" s="7">
        <f>E319/Fórmulas!E$7</f>
        <v>8</v>
      </c>
      <c r="J319" s="17">
        <f>G319*Fórmulas!B$10</f>
        <v>8228.5714285714275</v>
      </c>
      <c r="K319" s="1">
        <v>1</v>
      </c>
      <c r="L319" s="1">
        <f>((Fórmulas!C$6/Fórmulas!D$6)/0.7)*K319</f>
        <v>2.4489795918367347</v>
      </c>
      <c r="M319" s="1">
        <f>L319*Fórmulas!D$6</f>
        <v>857.14285714285711</v>
      </c>
    </row>
    <row r="320" spans="1:13" x14ac:dyDescent="0.25">
      <c r="A320" s="9"/>
      <c r="B320" s="26"/>
      <c r="C320" s="26"/>
      <c r="D320" s="26"/>
      <c r="E320" s="9">
        <v>0</v>
      </c>
      <c r="F320" s="9"/>
      <c r="G320" s="1">
        <f>((Fórmulas!C$7/Fórmulas!D$7)/Fórmulas!E$7)*E320</f>
        <v>0</v>
      </c>
      <c r="H320" s="1">
        <f>G320*Fórmulas!B$9</f>
        <v>0</v>
      </c>
      <c r="I320" s="7">
        <f>E320/Fórmulas!E$7</f>
        <v>0</v>
      </c>
      <c r="J320" s="17">
        <f>G320*Fórmulas!B$10</f>
        <v>0</v>
      </c>
      <c r="K320" s="1">
        <v>1</v>
      </c>
      <c r="L320" s="1">
        <f>((Fórmulas!C$6/Fórmulas!D$6)/0.7)*K320</f>
        <v>2.4489795918367347</v>
      </c>
      <c r="M320" s="1">
        <f>L320*Fórmulas!D$6</f>
        <v>857.14285714285711</v>
      </c>
    </row>
    <row r="321" spans="1:13" x14ac:dyDescent="0.25">
      <c r="A321" s="9"/>
      <c r="B321" s="26"/>
      <c r="C321" s="26"/>
      <c r="D321" s="26"/>
      <c r="E321" s="9">
        <v>0</v>
      </c>
      <c r="F321" s="9"/>
      <c r="G321" s="1">
        <f>((Fórmulas!C$7/Fórmulas!D$7)/Fórmulas!E$7)*E321</f>
        <v>0</v>
      </c>
      <c r="H321" s="1">
        <f>G321*Fórmulas!B$9</f>
        <v>0</v>
      </c>
      <c r="I321" s="7">
        <f>E321/Fórmulas!E$7</f>
        <v>0</v>
      </c>
      <c r="J321" s="17">
        <f>G321*Fórmulas!B$10</f>
        <v>0</v>
      </c>
      <c r="K321" s="1">
        <v>1</v>
      </c>
      <c r="L321" s="1">
        <f>((Fórmulas!C$6/Fórmulas!D$6)/0.7)*K321</f>
        <v>2.4489795918367347</v>
      </c>
      <c r="M321" s="1">
        <f>L321*Fórmulas!D$6</f>
        <v>857.14285714285711</v>
      </c>
    </row>
    <row r="322" spans="1:13" x14ac:dyDescent="0.25">
      <c r="A322" s="9"/>
      <c r="B322" s="26"/>
      <c r="C322" s="26"/>
      <c r="D322" s="26"/>
      <c r="E322" s="9"/>
      <c r="F322" s="9"/>
      <c r="G322" s="1">
        <f>((Fórmulas!C$7/Fórmulas!D$7)/Fórmulas!E$7)*E322</f>
        <v>0</v>
      </c>
      <c r="H322" s="1">
        <f>G322*Fórmulas!B$9</f>
        <v>0</v>
      </c>
      <c r="I322" s="7">
        <f>E322/Fórmulas!E$7</f>
        <v>0</v>
      </c>
      <c r="J322" s="17">
        <f>G322*Fórmulas!B$10</f>
        <v>0</v>
      </c>
      <c r="K322" s="1"/>
      <c r="L322" s="1"/>
      <c r="M322" s="1"/>
    </row>
    <row r="323" spans="1:13" x14ac:dyDescent="0.25">
      <c r="A323" s="9"/>
      <c r="B323" s="28" t="s">
        <v>183</v>
      </c>
      <c r="C323" s="28"/>
      <c r="D323" s="28"/>
      <c r="E323" s="9"/>
      <c r="F323" s="9"/>
      <c r="G323" s="1">
        <f>((Fórmulas!C$7/Fórmulas!D$7)/Fórmulas!E$7)*E323</f>
        <v>0</v>
      </c>
      <c r="H323" s="1">
        <f>G323*Fórmulas!B$9</f>
        <v>0</v>
      </c>
      <c r="I323" s="7">
        <f>E323/Fórmulas!E$7</f>
        <v>0</v>
      </c>
      <c r="J323" s="17">
        <f>G323*Fórmulas!B$10</f>
        <v>0</v>
      </c>
      <c r="K323" s="1"/>
      <c r="L323" s="1"/>
      <c r="M323" s="1"/>
    </row>
    <row r="324" spans="1:13" x14ac:dyDescent="0.25">
      <c r="A324" s="9" t="s">
        <v>184</v>
      </c>
      <c r="B324" s="26" t="s">
        <v>523</v>
      </c>
      <c r="C324" s="26"/>
      <c r="D324" s="26"/>
      <c r="E324" s="9">
        <v>1.2</v>
      </c>
      <c r="F324" s="9"/>
      <c r="G324" s="1">
        <f>((Fórmulas!C$7/Fórmulas!D$7)/Fórmulas!E$7)*E324</f>
        <v>3.4285714285714284</v>
      </c>
      <c r="H324" s="1">
        <f>G324*Fórmulas!B$9</f>
        <v>1200</v>
      </c>
      <c r="I324" s="7">
        <f>E324/Fórmulas!E$7</f>
        <v>2</v>
      </c>
      <c r="J324" s="17">
        <f>G324*Fórmulas!B$10</f>
        <v>2057.1428571428569</v>
      </c>
      <c r="K324" s="1">
        <v>1</v>
      </c>
      <c r="L324" s="1">
        <f>((Fórmulas!C$6/Fórmulas!D$6)/0.7)*K324</f>
        <v>2.4489795918367347</v>
      </c>
      <c r="M324" s="1">
        <f>L324*Fórmulas!D$6</f>
        <v>857.14285714285711</v>
      </c>
    </row>
    <row r="325" spans="1:13" x14ac:dyDescent="0.25">
      <c r="A325" s="9" t="s">
        <v>184</v>
      </c>
      <c r="B325" s="26" t="s">
        <v>185</v>
      </c>
      <c r="C325" s="26"/>
      <c r="D325" s="26"/>
      <c r="E325" s="9">
        <v>1.8</v>
      </c>
      <c r="F325" s="9"/>
      <c r="G325" s="1">
        <f>((Fórmulas!C$7/Fórmulas!D$7)/Fórmulas!E$7)*E325</f>
        <v>5.1428571428571432</v>
      </c>
      <c r="H325" s="1">
        <f>G325*Fórmulas!B$9</f>
        <v>1800.0000000000002</v>
      </c>
      <c r="I325" s="7">
        <f>E325/Fórmulas!E$7</f>
        <v>3</v>
      </c>
      <c r="J325" s="17">
        <f>G325*Fórmulas!B$10</f>
        <v>3085.7142857142858</v>
      </c>
      <c r="K325" s="1">
        <v>1</v>
      </c>
      <c r="L325" s="1">
        <f>((Fórmulas!C$6/Fórmulas!D$6)/0.7)*K325</f>
        <v>2.4489795918367347</v>
      </c>
      <c r="M325" s="1">
        <f>L325*Fórmulas!D$6</f>
        <v>857.14285714285711</v>
      </c>
    </row>
    <row r="326" spans="1:13" x14ac:dyDescent="0.25">
      <c r="A326" s="9" t="s">
        <v>184</v>
      </c>
      <c r="B326" s="25" t="s">
        <v>186</v>
      </c>
      <c r="C326" s="25"/>
      <c r="D326" s="25"/>
      <c r="E326" s="9">
        <v>1.2</v>
      </c>
      <c r="F326" s="9"/>
      <c r="G326" s="1">
        <f>((Fórmulas!C$7/Fórmulas!D$7)/Fórmulas!E$7)*E326</f>
        <v>3.4285714285714284</v>
      </c>
      <c r="H326" s="1">
        <f>G326*Fórmulas!B$9</f>
        <v>1200</v>
      </c>
      <c r="I326" s="7">
        <f>E326/Fórmulas!E$7</f>
        <v>2</v>
      </c>
      <c r="J326" s="17">
        <f>G326*Fórmulas!B$10</f>
        <v>2057.1428571428569</v>
      </c>
      <c r="K326" s="1">
        <v>1</v>
      </c>
      <c r="L326" s="1">
        <f>((Fórmulas!C$6/Fórmulas!D$6)/0.7)*K326</f>
        <v>2.4489795918367347</v>
      </c>
      <c r="M326" s="1">
        <f>L326*Fórmulas!D$6</f>
        <v>857.14285714285711</v>
      </c>
    </row>
    <row r="327" spans="1:13" x14ac:dyDescent="0.25">
      <c r="A327" s="9" t="s">
        <v>184</v>
      </c>
      <c r="B327" s="25" t="s">
        <v>187</v>
      </c>
      <c r="C327" s="25"/>
      <c r="D327" s="25"/>
      <c r="E327" s="9">
        <v>0.6</v>
      </c>
      <c r="F327" s="9"/>
      <c r="G327" s="1">
        <f>((Fórmulas!C$7/Fórmulas!D$7)/Fórmulas!E$7)*E327</f>
        <v>1.7142857142857142</v>
      </c>
      <c r="H327" s="1">
        <f>G327*Fórmulas!B$9</f>
        <v>600</v>
      </c>
      <c r="I327" s="7">
        <f>E327/Fórmulas!E$7</f>
        <v>1</v>
      </c>
      <c r="J327" s="17">
        <f>G327*Fórmulas!B$10</f>
        <v>1028.5714285714284</v>
      </c>
      <c r="K327" s="1">
        <v>1</v>
      </c>
      <c r="L327" s="1">
        <f>((Fórmulas!C$6/Fórmulas!D$6)/0.7)*K327</f>
        <v>2.4489795918367347</v>
      </c>
      <c r="M327" s="1">
        <f>L327*Fórmulas!D$6</f>
        <v>857.14285714285711</v>
      </c>
    </row>
    <row r="328" spans="1:13" x14ac:dyDescent="0.25">
      <c r="A328" s="9" t="s">
        <v>184</v>
      </c>
      <c r="B328" s="25" t="s">
        <v>188</v>
      </c>
      <c r="C328" s="25"/>
      <c r="D328" s="25"/>
      <c r="E328" s="9">
        <v>2.4</v>
      </c>
      <c r="F328" s="9"/>
      <c r="G328" s="1">
        <f>((Fórmulas!C$7/Fórmulas!D$7)/Fórmulas!E$7)*E328</f>
        <v>6.8571428571428568</v>
      </c>
      <c r="H328" s="1">
        <f>G328*Fórmulas!B$9</f>
        <v>2400</v>
      </c>
      <c r="I328" s="7">
        <f>E328/Fórmulas!E$7</f>
        <v>4</v>
      </c>
      <c r="J328" s="17">
        <f>G328*Fórmulas!B$10</f>
        <v>4114.2857142857138</v>
      </c>
      <c r="K328" s="1">
        <v>1</v>
      </c>
      <c r="L328" s="1">
        <f>((Fórmulas!C$6/Fórmulas!D$6)/0.7)*K328</f>
        <v>2.4489795918367347</v>
      </c>
      <c r="M328" s="1">
        <f>L328*Fórmulas!D$6</f>
        <v>857.14285714285711</v>
      </c>
    </row>
    <row r="329" spans="1:13" x14ac:dyDescent="0.25">
      <c r="A329" s="9" t="s">
        <v>184</v>
      </c>
      <c r="B329" s="25" t="s">
        <v>189</v>
      </c>
      <c r="C329" s="25"/>
      <c r="D329" s="25"/>
      <c r="E329" s="9">
        <v>1.8</v>
      </c>
      <c r="F329" s="9"/>
      <c r="G329" s="1">
        <f>((Fórmulas!C$7/Fórmulas!D$7)/Fórmulas!E$7)*E329</f>
        <v>5.1428571428571432</v>
      </c>
      <c r="H329" s="1">
        <f>G329*Fórmulas!B$9</f>
        <v>1800.0000000000002</v>
      </c>
      <c r="I329" s="7">
        <f>E329/Fórmulas!E$7</f>
        <v>3</v>
      </c>
      <c r="J329" s="17">
        <f>G329*Fórmulas!B$10</f>
        <v>3085.7142857142858</v>
      </c>
      <c r="K329" s="1">
        <v>1</v>
      </c>
      <c r="L329" s="1">
        <f>((Fórmulas!C$6/Fórmulas!D$6)/0.7)*K329</f>
        <v>2.4489795918367347</v>
      </c>
      <c r="M329" s="1">
        <f>L329*Fórmulas!D$6</f>
        <v>857.14285714285711</v>
      </c>
    </row>
    <row r="330" spans="1:13" x14ac:dyDescent="0.25">
      <c r="A330" s="9" t="s">
        <v>184</v>
      </c>
      <c r="B330" s="25" t="s">
        <v>190</v>
      </c>
      <c r="C330" s="25"/>
      <c r="D330" s="25"/>
      <c r="E330" s="9">
        <v>1.2</v>
      </c>
      <c r="F330" s="9"/>
      <c r="G330" s="1">
        <f>((Fórmulas!C$7/Fórmulas!D$7)/Fórmulas!E$7)*E330</f>
        <v>3.4285714285714284</v>
      </c>
      <c r="H330" s="1">
        <f>G330*Fórmulas!B$9</f>
        <v>1200</v>
      </c>
      <c r="I330" s="7">
        <f>E330/Fórmulas!E$7</f>
        <v>2</v>
      </c>
      <c r="J330" s="17">
        <f>G330*Fórmulas!B$10</f>
        <v>2057.1428571428569</v>
      </c>
      <c r="K330" s="1">
        <v>1</v>
      </c>
      <c r="L330" s="1">
        <f>((Fórmulas!C$6/Fórmulas!D$6)/0.7)*K330</f>
        <v>2.4489795918367347</v>
      </c>
      <c r="M330" s="1">
        <f>L330*Fórmulas!D$6</f>
        <v>857.14285714285711</v>
      </c>
    </row>
    <row r="331" spans="1:13" x14ac:dyDescent="0.25">
      <c r="A331" s="9" t="s">
        <v>184</v>
      </c>
      <c r="B331" s="25" t="s">
        <v>191</v>
      </c>
      <c r="C331" s="25"/>
      <c r="D331" s="25"/>
      <c r="E331" s="9">
        <v>1.2</v>
      </c>
      <c r="F331" s="9"/>
      <c r="G331" s="1">
        <f>((Fórmulas!C$7/Fórmulas!D$7)/Fórmulas!E$7)*E331</f>
        <v>3.4285714285714284</v>
      </c>
      <c r="H331" s="1">
        <f>G331*Fórmulas!B$9</f>
        <v>1200</v>
      </c>
      <c r="I331" s="7">
        <f>E331/Fórmulas!E$7</f>
        <v>2</v>
      </c>
      <c r="J331" s="17">
        <f>G331*Fórmulas!B$10</f>
        <v>2057.1428571428569</v>
      </c>
      <c r="K331" s="1">
        <v>1</v>
      </c>
      <c r="L331" s="1">
        <f>((Fórmulas!C$6/Fórmulas!D$6)/0.7)*K331</f>
        <v>2.4489795918367347</v>
      </c>
      <c r="M331" s="1">
        <f>L331*Fórmulas!D$6</f>
        <v>857.14285714285711</v>
      </c>
    </row>
    <row r="332" spans="1:13" x14ac:dyDescent="0.25">
      <c r="A332" s="9" t="s">
        <v>198</v>
      </c>
      <c r="B332" s="27" t="s">
        <v>257</v>
      </c>
      <c r="C332" s="27"/>
      <c r="D332" s="27"/>
      <c r="E332" s="9">
        <v>2.4</v>
      </c>
      <c r="F332" s="9"/>
      <c r="G332" s="1">
        <f>((Fórmulas!C$7/Fórmulas!D$7)/Fórmulas!E$7)*E332</f>
        <v>6.8571428571428568</v>
      </c>
      <c r="H332" s="1">
        <f>G332*Fórmulas!B$9</f>
        <v>2400</v>
      </c>
      <c r="I332" s="7">
        <f>E332/Fórmulas!E$7</f>
        <v>4</v>
      </c>
      <c r="J332" s="17">
        <f>G332*Fórmulas!B$10</f>
        <v>4114.2857142857138</v>
      </c>
      <c r="K332" s="1">
        <v>1</v>
      </c>
      <c r="L332" s="1">
        <f>((Fórmulas!C$6/Fórmulas!D$6)/0.7)*K332</f>
        <v>2.4489795918367347</v>
      </c>
      <c r="M332" s="1">
        <f>L332*Fórmulas!D$6</f>
        <v>857.14285714285711</v>
      </c>
    </row>
    <row r="333" spans="1:13" x14ac:dyDescent="0.25">
      <c r="A333" s="9" t="s">
        <v>198</v>
      </c>
      <c r="B333" s="27" t="s">
        <v>258</v>
      </c>
      <c r="C333" s="27"/>
      <c r="D333" s="27"/>
      <c r="E333" s="9">
        <v>1.2</v>
      </c>
      <c r="F333" s="9"/>
      <c r="G333" s="1">
        <f>((Fórmulas!C$7/Fórmulas!D$7)/Fórmulas!E$7)*E333</f>
        <v>3.4285714285714284</v>
      </c>
      <c r="H333" s="1">
        <f>G333*Fórmulas!B$9</f>
        <v>1200</v>
      </c>
      <c r="I333" s="7">
        <f>E333/Fórmulas!E$7</f>
        <v>2</v>
      </c>
      <c r="J333" s="17">
        <f>G333*Fórmulas!B$10</f>
        <v>2057.1428571428569</v>
      </c>
      <c r="K333" s="1">
        <v>1</v>
      </c>
      <c r="L333" s="1">
        <f>((Fórmulas!C$6/Fórmulas!D$6)/0.7)*K333</f>
        <v>2.4489795918367347</v>
      </c>
      <c r="M333" s="1">
        <f>L333*Fórmulas!D$6</f>
        <v>857.14285714285711</v>
      </c>
    </row>
    <row r="334" spans="1:13" x14ac:dyDescent="0.25">
      <c r="A334" s="9" t="s">
        <v>198</v>
      </c>
      <c r="B334" s="27" t="s">
        <v>203</v>
      </c>
      <c r="C334" s="27"/>
      <c r="D334" s="27"/>
      <c r="E334" s="9">
        <v>1.2</v>
      </c>
      <c r="F334" s="9"/>
      <c r="G334" s="1">
        <f>((Fórmulas!C$7/Fórmulas!D$7)/Fórmulas!E$7)*E334</f>
        <v>3.4285714285714284</v>
      </c>
      <c r="H334" s="1">
        <f>G334*Fórmulas!B$9</f>
        <v>1200</v>
      </c>
      <c r="I334" s="7">
        <f>E334/Fórmulas!E$7</f>
        <v>2</v>
      </c>
      <c r="J334" s="17">
        <f>G334*Fórmulas!B$10</f>
        <v>2057.1428571428569</v>
      </c>
      <c r="K334" s="1">
        <v>1</v>
      </c>
      <c r="L334" s="1">
        <f>((Fórmulas!C$6/Fórmulas!D$6)/0.7)*K334</f>
        <v>2.4489795918367347</v>
      </c>
      <c r="M334" s="1">
        <f>L334*Fórmulas!D$6</f>
        <v>857.14285714285711</v>
      </c>
    </row>
    <row r="335" spans="1:13" x14ac:dyDescent="0.25">
      <c r="A335" s="9" t="s">
        <v>198</v>
      </c>
      <c r="B335" s="27" t="s">
        <v>204</v>
      </c>
      <c r="C335" s="27"/>
      <c r="D335" s="27"/>
      <c r="E335" s="9">
        <v>1.2</v>
      </c>
      <c r="F335" s="9"/>
      <c r="G335" s="1">
        <f>((Fórmulas!C$7/Fórmulas!D$7)/Fórmulas!E$7)*E335</f>
        <v>3.4285714285714284</v>
      </c>
      <c r="H335" s="1">
        <f>G335*Fórmulas!B$9</f>
        <v>1200</v>
      </c>
      <c r="I335" s="7">
        <f>E335/Fórmulas!E$7</f>
        <v>2</v>
      </c>
      <c r="J335" s="17">
        <f>G335*Fórmulas!B$10</f>
        <v>2057.1428571428569</v>
      </c>
      <c r="K335" s="1">
        <v>1</v>
      </c>
      <c r="L335" s="1">
        <f>((Fórmulas!C$6/Fórmulas!D$6)/0.7)*K335</f>
        <v>2.4489795918367347</v>
      </c>
      <c r="M335" s="1">
        <f>L335*Fórmulas!D$6</f>
        <v>857.14285714285711</v>
      </c>
    </row>
    <row r="336" spans="1:13" x14ac:dyDescent="0.25">
      <c r="A336" s="9" t="s">
        <v>198</v>
      </c>
      <c r="B336" s="27" t="s">
        <v>205</v>
      </c>
      <c r="C336" s="27"/>
      <c r="D336" s="27"/>
      <c r="E336" s="9">
        <v>1.8</v>
      </c>
      <c r="F336" s="9"/>
      <c r="G336" s="1">
        <f>((Fórmulas!C$7/Fórmulas!D$7)/Fórmulas!E$7)*E336</f>
        <v>5.1428571428571432</v>
      </c>
      <c r="H336" s="1">
        <f>G336*Fórmulas!B$9</f>
        <v>1800.0000000000002</v>
      </c>
      <c r="I336" s="7">
        <f>E336/Fórmulas!E$7</f>
        <v>3</v>
      </c>
      <c r="J336" s="17">
        <f>G336*Fórmulas!B$10</f>
        <v>3085.7142857142858</v>
      </c>
      <c r="K336" s="1">
        <v>1</v>
      </c>
      <c r="L336" s="1">
        <f>((Fórmulas!C$6/Fórmulas!D$6)/0.7)*K336</f>
        <v>2.4489795918367347</v>
      </c>
      <c r="M336" s="1">
        <f>L336*Fórmulas!D$6</f>
        <v>857.14285714285711</v>
      </c>
    </row>
    <row r="337" spans="1:13" x14ac:dyDescent="0.25">
      <c r="A337" s="9" t="s">
        <v>206</v>
      </c>
      <c r="B337" s="27" t="s">
        <v>207</v>
      </c>
      <c r="C337" s="27"/>
      <c r="D337" s="27"/>
      <c r="E337" s="19">
        <v>2.4</v>
      </c>
      <c r="F337" s="19"/>
      <c r="G337" s="1">
        <f>((Fórmulas!C$7/Fórmulas!D$7)/Fórmulas!E$7)*E337</f>
        <v>6.8571428571428568</v>
      </c>
      <c r="H337" s="1">
        <f>G337*Fórmulas!B$9</f>
        <v>2400</v>
      </c>
      <c r="I337" s="7">
        <f>E337/Fórmulas!E$7</f>
        <v>4</v>
      </c>
      <c r="J337" s="17">
        <f>G337*Fórmulas!B$10</f>
        <v>4114.2857142857138</v>
      </c>
      <c r="K337" s="6">
        <v>1</v>
      </c>
      <c r="L337" s="6">
        <f>((Fórmulas!C$6/Fórmulas!D$6)/0.7)*K337</f>
        <v>2.4489795918367347</v>
      </c>
      <c r="M337" s="6">
        <f>L337*Fórmulas!D$6</f>
        <v>857.14285714285711</v>
      </c>
    </row>
    <row r="338" spans="1:13" x14ac:dyDescent="0.25">
      <c r="A338" s="9" t="s">
        <v>208</v>
      </c>
      <c r="B338" s="27" t="s">
        <v>209</v>
      </c>
      <c r="C338" s="27"/>
      <c r="D338" s="27"/>
      <c r="E338" s="9">
        <v>1.8</v>
      </c>
      <c r="F338" s="9"/>
      <c r="G338" s="1">
        <f>((Fórmulas!C$7/Fórmulas!D$7)/Fórmulas!E$7)*E338</f>
        <v>5.1428571428571432</v>
      </c>
      <c r="H338" s="1">
        <f>G338*Fórmulas!B$9</f>
        <v>1800.0000000000002</v>
      </c>
      <c r="I338" s="7">
        <f>E338/Fórmulas!E$7</f>
        <v>3</v>
      </c>
      <c r="J338" s="17">
        <f>G338*Fórmulas!B$10</f>
        <v>3085.7142857142858</v>
      </c>
      <c r="K338" s="1">
        <v>1</v>
      </c>
      <c r="L338" s="1">
        <f>((Fórmulas!C$6/Fórmulas!D$6)/0.7)*K338</f>
        <v>2.4489795918367347</v>
      </c>
      <c r="M338" s="1">
        <f>L338*Fórmulas!D$6</f>
        <v>857.14285714285711</v>
      </c>
    </row>
    <row r="339" spans="1:13" x14ac:dyDescent="0.25">
      <c r="A339" s="9" t="s">
        <v>208</v>
      </c>
      <c r="B339" s="27" t="s">
        <v>210</v>
      </c>
      <c r="C339" s="27"/>
      <c r="D339" s="27"/>
      <c r="E339" s="9">
        <v>2.4</v>
      </c>
      <c r="F339" s="9"/>
      <c r="G339" s="1">
        <f>((Fórmulas!C$7/Fórmulas!D$7)/Fórmulas!E$7)*E339</f>
        <v>6.8571428571428568</v>
      </c>
      <c r="H339" s="1">
        <f>G339*Fórmulas!B$9</f>
        <v>2400</v>
      </c>
      <c r="I339" s="7">
        <f>E339/Fórmulas!E$7</f>
        <v>4</v>
      </c>
      <c r="J339" s="17">
        <f>G339*Fórmulas!B$10</f>
        <v>4114.2857142857138</v>
      </c>
      <c r="K339" s="1">
        <v>1</v>
      </c>
      <c r="L339" s="1">
        <f>((Fórmulas!C$6/Fórmulas!D$6)/0.7)*K339</f>
        <v>2.4489795918367347</v>
      </c>
      <c r="M339" s="1">
        <f>L339*Fórmulas!D$6</f>
        <v>857.14285714285711</v>
      </c>
    </row>
    <row r="340" spans="1:13" x14ac:dyDescent="0.25">
      <c r="A340" s="9"/>
      <c r="B340" s="27" t="s">
        <v>211</v>
      </c>
      <c r="C340" s="27"/>
      <c r="D340" s="27"/>
      <c r="E340" s="9">
        <v>0.6</v>
      </c>
      <c r="F340" s="9"/>
      <c r="G340" s="1">
        <f>((Fórmulas!C$7/Fórmulas!D$7)/Fórmulas!E$7)*E340</f>
        <v>1.7142857142857142</v>
      </c>
      <c r="H340" s="1">
        <f>G340*Fórmulas!B$9</f>
        <v>600</v>
      </c>
      <c r="I340" s="7">
        <f>E340/Fórmulas!E$7</f>
        <v>1</v>
      </c>
      <c r="J340" s="17">
        <f>G340*Fórmulas!B$10</f>
        <v>1028.5714285714284</v>
      </c>
      <c r="K340" s="1">
        <v>1</v>
      </c>
      <c r="L340" s="1">
        <f>((Fórmulas!C$6/Fórmulas!D$6)/0.7)*K340</f>
        <v>2.4489795918367347</v>
      </c>
      <c r="M340" s="1">
        <f>L340*Fórmulas!D$6</f>
        <v>857.14285714285711</v>
      </c>
    </row>
    <row r="341" spans="1:13" x14ac:dyDescent="0.25">
      <c r="A341" s="11"/>
      <c r="B341" s="27"/>
      <c r="C341" s="27"/>
      <c r="D341" s="27"/>
      <c r="E341" s="9">
        <v>0</v>
      </c>
      <c r="F341" s="9"/>
      <c r="G341" s="1">
        <f>((Fórmulas!C$7/Fórmulas!D$7)/Fórmulas!E$7)*E341</f>
        <v>0</v>
      </c>
      <c r="H341" s="1">
        <f>G341*Fórmulas!B$9</f>
        <v>0</v>
      </c>
      <c r="I341" s="7">
        <f>E341/Fórmulas!E$7</f>
        <v>0</v>
      </c>
      <c r="J341" s="17">
        <f>G341*Fórmulas!B$10</f>
        <v>0</v>
      </c>
      <c r="K341" s="1">
        <v>1</v>
      </c>
      <c r="L341" s="1">
        <f>((Fórmulas!C$6/Fórmulas!D$6)/0.7)*K341</f>
        <v>2.4489795918367347</v>
      </c>
      <c r="M341" s="1">
        <f>L341*Fórmulas!D$6</f>
        <v>857.14285714285711</v>
      </c>
    </row>
    <row r="342" spans="1:13" x14ac:dyDescent="0.25">
      <c r="A342" s="11"/>
      <c r="B342" s="27" t="s">
        <v>214</v>
      </c>
      <c r="C342" s="27"/>
      <c r="D342" s="27"/>
      <c r="E342" s="9">
        <v>1.2</v>
      </c>
      <c r="F342" s="9"/>
      <c r="G342" s="1">
        <f>((Fórmulas!C$7/Fórmulas!D$7)/Fórmulas!E$7)*E342</f>
        <v>3.4285714285714284</v>
      </c>
      <c r="H342" s="1">
        <f>G342*Fórmulas!B$9</f>
        <v>1200</v>
      </c>
      <c r="I342" s="7">
        <f>E342/Fórmulas!E$7</f>
        <v>2</v>
      </c>
      <c r="J342" s="17">
        <f>G342*Fórmulas!B$10</f>
        <v>2057.1428571428569</v>
      </c>
      <c r="K342" s="1">
        <v>1</v>
      </c>
      <c r="L342" s="1">
        <f>((Fórmulas!C$6/Fórmulas!D$6)/0.7)*K342</f>
        <v>2.4489795918367347</v>
      </c>
      <c r="M342" s="1">
        <f>L342*Fórmulas!D$6</f>
        <v>857.14285714285711</v>
      </c>
    </row>
    <row r="343" spans="1:13" x14ac:dyDescent="0.25">
      <c r="A343" s="11"/>
      <c r="B343" s="39" t="s">
        <v>212</v>
      </c>
      <c r="C343" s="39"/>
      <c r="D343" s="39"/>
      <c r="E343" s="9">
        <v>0.6</v>
      </c>
      <c r="F343" s="9"/>
      <c r="G343" s="1">
        <f>((Fórmulas!C$7/Fórmulas!D$7)/Fórmulas!E$7)*E343</f>
        <v>1.7142857142857142</v>
      </c>
      <c r="H343" s="1">
        <f>G343*Fórmulas!B$9</f>
        <v>600</v>
      </c>
      <c r="I343" s="7">
        <f>E343/Fórmulas!E$7</f>
        <v>1</v>
      </c>
      <c r="J343" s="17">
        <f>G343*Fórmulas!B$10</f>
        <v>1028.5714285714284</v>
      </c>
      <c r="K343" s="1">
        <v>1</v>
      </c>
      <c r="L343" s="1">
        <f>((Fórmulas!C$6/Fórmulas!D$6)/0.7)*K343</f>
        <v>2.4489795918367347</v>
      </c>
      <c r="M343" s="1">
        <f>L343*Fórmulas!D$6</f>
        <v>857.14285714285711</v>
      </c>
    </row>
    <row r="344" spans="1:13" x14ac:dyDescent="0.25">
      <c r="A344" s="11"/>
      <c r="B344" s="27" t="s">
        <v>213</v>
      </c>
      <c r="C344" s="27"/>
      <c r="D344" s="27"/>
      <c r="E344" s="9">
        <v>1.2</v>
      </c>
      <c r="F344" s="9"/>
      <c r="G344" s="1">
        <f>((Fórmulas!C$7/Fórmulas!D$7)/Fórmulas!E$7)*E344</f>
        <v>3.4285714285714284</v>
      </c>
      <c r="H344" s="1">
        <f>G344*Fórmulas!B$9</f>
        <v>1200</v>
      </c>
      <c r="I344" s="7">
        <f>E344/Fórmulas!E$7</f>
        <v>2</v>
      </c>
      <c r="J344" s="17">
        <f>G344*Fórmulas!B$10</f>
        <v>2057.1428571428569</v>
      </c>
      <c r="K344" s="1">
        <v>1</v>
      </c>
      <c r="L344" s="1">
        <f>((Fórmulas!C$6/Fórmulas!D$6)/0.7)*K344</f>
        <v>2.4489795918367347</v>
      </c>
      <c r="M344" s="1">
        <f>L344*Fórmulas!D$6</f>
        <v>857.14285714285711</v>
      </c>
    </row>
    <row r="345" spans="1:13" x14ac:dyDescent="0.25">
      <c r="A345" s="9"/>
      <c r="B345" s="27"/>
      <c r="C345" s="27"/>
      <c r="D345" s="27"/>
      <c r="E345" s="9">
        <v>0</v>
      </c>
      <c r="F345" s="9"/>
      <c r="G345" s="1">
        <f>((Fórmulas!C$7/Fórmulas!D$7)/Fórmulas!E$7)*E345</f>
        <v>0</v>
      </c>
      <c r="H345" s="1">
        <f>G345*Fórmulas!B$9</f>
        <v>0</v>
      </c>
      <c r="I345" s="7">
        <f>E345/Fórmulas!E$7</f>
        <v>0</v>
      </c>
      <c r="J345" s="17">
        <f>G345*Fórmulas!B$10</f>
        <v>0</v>
      </c>
      <c r="K345" s="1">
        <v>1</v>
      </c>
      <c r="L345" s="1">
        <f>((Fórmulas!C$6/Fórmulas!D$6)/0.7)*K345</f>
        <v>2.4489795918367347</v>
      </c>
      <c r="M345" s="1">
        <f>L345*Fórmulas!D$6</f>
        <v>857.14285714285711</v>
      </c>
    </row>
    <row r="346" spans="1:13" x14ac:dyDescent="0.25">
      <c r="A346" s="9" t="s">
        <v>323</v>
      </c>
      <c r="B346" s="27" t="s">
        <v>324</v>
      </c>
      <c r="C346" s="27"/>
      <c r="D346" s="27"/>
      <c r="E346" s="9">
        <v>1.2</v>
      </c>
      <c r="F346" s="9"/>
      <c r="G346" s="1">
        <f>((Fórmulas!C$7/Fórmulas!D$7)/Fórmulas!E$7)*E346</f>
        <v>3.4285714285714284</v>
      </c>
      <c r="H346" s="1">
        <f>G346*Fórmulas!B$9</f>
        <v>1200</v>
      </c>
      <c r="I346" s="7">
        <f>E346/Fórmulas!E$7</f>
        <v>2</v>
      </c>
      <c r="J346" s="17">
        <f>G346*Fórmulas!B$10</f>
        <v>2057.1428571428569</v>
      </c>
      <c r="K346" s="1">
        <v>1</v>
      </c>
      <c r="L346" s="1">
        <f>((Fórmulas!C$6/Fórmulas!D$6)/0.7)*K346</f>
        <v>2.4489795918367347</v>
      </c>
      <c r="M346" s="1">
        <f>L346*Fórmulas!D$6</f>
        <v>857.14285714285711</v>
      </c>
    </row>
    <row r="347" spans="1:13" x14ac:dyDescent="0.25">
      <c r="A347" s="9" t="s">
        <v>323</v>
      </c>
      <c r="B347" s="27" t="s">
        <v>325</v>
      </c>
      <c r="C347" s="27"/>
      <c r="D347" s="27"/>
      <c r="E347" s="9">
        <v>1.8</v>
      </c>
      <c r="F347" s="9"/>
      <c r="G347" s="1">
        <f>((Fórmulas!C$7/Fórmulas!D$7)/Fórmulas!E$7)*E347</f>
        <v>5.1428571428571432</v>
      </c>
      <c r="H347" s="1">
        <f>G347*Fórmulas!B$9</f>
        <v>1800.0000000000002</v>
      </c>
      <c r="I347" s="7">
        <f>E347/Fórmulas!E$7</f>
        <v>3</v>
      </c>
      <c r="J347" s="17">
        <f>G347*Fórmulas!B$10</f>
        <v>3085.7142857142858</v>
      </c>
      <c r="K347" s="1">
        <v>1</v>
      </c>
      <c r="L347" s="1">
        <f>((Fórmulas!C$6/Fórmulas!D$6)/0.7)*K347</f>
        <v>2.4489795918367347</v>
      </c>
      <c r="M347" s="1">
        <f>L347*Fórmulas!D$6</f>
        <v>857.14285714285711</v>
      </c>
    </row>
    <row r="348" spans="1:13" x14ac:dyDescent="0.25">
      <c r="A348" s="9" t="s">
        <v>323</v>
      </c>
      <c r="B348" s="27" t="s">
        <v>326</v>
      </c>
      <c r="C348" s="27"/>
      <c r="D348" s="27"/>
      <c r="E348" s="9">
        <v>1.8</v>
      </c>
      <c r="F348" s="9"/>
      <c r="G348" s="1">
        <f>((Fórmulas!C$7/Fórmulas!D$7)/Fórmulas!E$7)*E348</f>
        <v>5.1428571428571432</v>
      </c>
      <c r="H348" s="1">
        <f>G348*Fórmulas!B$9</f>
        <v>1800.0000000000002</v>
      </c>
      <c r="I348" s="7">
        <f>E348/Fórmulas!E$7</f>
        <v>3</v>
      </c>
      <c r="J348" s="17">
        <f>G348*Fórmulas!B$10</f>
        <v>3085.7142857142858</v>
      </c>
      <c r="K348" s="1">
        <v>1</v>
      </c>
      <c r="L348" s="1">
        <f>((Fórmulas!C$6/Fórmulas!D$6)/0.7)*K348</f>
        <v>2.4489795918367347</v>
      </c>
      <c r="M348" s="1">
        <f>L348*Fórmulas!D$6</f>
        <v>857.14285714285711</v>
      </c>
    </row>
    <row r="349" spans="1:13" x14ac:dyDescent="0.25">
      <c r="A349" s="9" t="s">
        <v>323</v>
      </c>
      <c r="B349" s="27" t="s">
        <v>327</v>
      </c>
      <c r="C349" s="27"/>
      <c r="D349" s="27"/>
      <c r="E349" s="9">
        <v>1.8</v>
      </c>
      <c r="F349" s="9"/>
      <c r="G349" s="1">
        <f>((Fórmulas!C$7/Fórmulas!D$7)/Fórmulas!E$7)*E349</f>
        <v>5.1428571428571432</v>
      </c>
      <c r="H349" s="1">
        <f>G349*Fórmulas!B$9</f>
        <v>1800.0000000000002</v>
      </c>
      <c r="I349" s="7">
        <f>E349/Fórmulas!E$7</f>
        <v>3</v>
      </c>
      <c r="J349" s="17">
        <f>G349*Fórmulas!B$10</f>
        <v>3085.7142857142858</v>
      </c>
      <c r="K349" s="1">
        <v>1</v>
      </c>
      <c r="L349" s="1">
        <f>((Fórmulas!C$6/Fórmulas!D$6)/0.7)*K349</f>
        <v>2.4489795918367347</v>
      </c>
      <c r="M349" s="1">
        <f>L349*Fórmulas!D$6</f>
        <v>857.14285714285711</v>
      </c>
    </row>
    <row r="350" spans="1:13" x14ac:dyDescent="0.25">
      <c r="A350" s="9" t="s">
        <v>323</v>
      </c>
      <c r="B350" s="27" t="s">
        <v>329</v>
      </c>
      <c r="C350" s="27"/>
      <c r="D350" s="27"/>
      <c r="E350" s="9">
        <v>1.8</v>
      </c>
      <c r="F350" s="9"/>
      <c r="G350" s="1">
        <f>((Fórmulas!C$7/Fórmulas!D$7)/Fórmulas!E$7)*E350</f>
        <v>5.1428571428571432</v>
      </c>
      <c r="H350" s="1">
        <f>G350*Fórmulas!B$9</f>
        <v>1800.0000000000002</v>
      </c>
      <c r="I350" s="7">
        <f>E350/Fórmulas!E$7</f>
        <v>3</v>
      </c>
      <c r="J350" s="17">
        <f>G350*Fórmulas!B$10</f>
        <v>3085.7142857142858</v>
      </c>
      <c r="K350" s="1">
        <v>1</v>
      </c>
      <c r="L350" s="1">
        <f>((Fórmulas!C$6/Fórmulas!D$6)/0.7)*K350</f>
        <v>2.4489795918367347</v>
      </c>
      <c r="M350" s="1">
        <f>L350*Fórmulas!D$6</f>
        <v>857.14285714285711</v>
      </c>
    </row>
    <row r="351" spans="1:13" x14ac:dyDescent="0.25">
      <c r="A351" s="9" t="s">
        <v>323</v>
      </c>
      <c r="B351" s="27" t="s">
        <v>330</v>
      </c>
      <c r="C351" s="27"/>
      <c r="D351" s="27"/>
      <c r="E351" s="9">
        <v>1.8</v>
      </c>
      <c r="F351" s="9"/>
      <c r="G351" s="1">
        <f>((Fórmulas!C$7/Fórmulas!D$7)/Fórmulas!E$7)*E351</f>
        <v>5.1428571428571432</v>
      </c>
      <c r="H351" s="1">
        <f>G351*Fórmulas!B$9</f>
        <v>1800.0000000000002</v>
      </c>
      <c r="I351" s="7">
        <f>E351/Fórmulas!E$7</f>
        <v>3</v>
      </c>
      <c r="J351" s="17">
        <f>G351*Fórmulas!B$10</f>
        <v>3085.7142857142858</v>
      </c>
      <c r="K351" s="1">
        <v>1</v>
      </c>
      <c r="L351" s="1">
        <f>((Fórmulas!C$6/Fórmulas!D$6)/0.7)*K351</f>
        <v>2.4489795918367347</v>
      </c>
      <c r="M351" s="1">
        <f>L351*Fórmulas!D$6</f>
        <v>857.14285714285711</v>
      </c>
    </row>
    <row r="352" spans="1:13" x14ac:dyDescent="0.25">
      <c r="A352" s="9" t="s">
        <v>323</v>
      </c>
      <c r="B352" s="27" t="s">
        <v>328</v>
      </c>
      <c r="C352" s="27"/>
      <c r="D352" s="27"/>
      <c r="E352" s="9">
        <v>1.2</v>
      </c>
      <c r="F352" s="9"/>
      <c r="G352" s="1">
        <f>((Fórmulas!C$7/Fórmulas!D$7)/Fórmulas!E$7)*E352</f>
        <v>3.4285714285714284</v>
      </c>
      <c r="H352" s="1">
        <f>G352*Fórmulas!B$9</f>
        <v>1200</v>
      </c>
      <c r="I352" s="7">
        <f>E352/Fórmulas!E$7</f>
        <v>2</v>
      </c>
      <c r="J352" s="17">
        <f>G352*Fórmulas!B$10</f>
        <v>2057.1428571428569</v>
      </c>
      <c r="K352" s="1">
        <v>1</v>
      </c>
      <c r="L352" s="1">
        <f>((Fórmulas!C$6/Fórmulas!D$6)/0.7)*K352</f>
        <v>2.4489795918367347</v>
      </c>
      <c r="M352" s="1">
        <f>L352*Fórmulas!D$6</f>
        <v>857.14285714285711</v>
      </c>
    </row>
    <row r="353" spans="1:13" x14ac:dyDescent="0.25">
      <c r="A353" s="9" t="s">
        <v>323</v>
      </c>
      <c r="B353" s="27" t="s">
        <v>331</v>
      </c>
      <c r="C353" s="27"/>
      <c r="D353" s="27"/>
      <c r="E353" s="9">
        <v>1.8</v>
      </c>
      <c r="F353" s="9"/>
      <c r="G353" s="1">
        <f>((Fórmulas!C$7/Fórmulas!D$7)/Fórmulas!E$7)*E353</f>
        <v>5.1428571428571432</v>
      </c>
      <c r="H353" s="1">
        <f>G353*Fórmulas!B$9</f>
        <v>1800.0000000000002</v>
      </c>
      <c r="I353" s="7">
        <f>E353/Fórmulas!E$7</f>
        <v>3</v>
      </c>
      <c r="J353" s="17">
        <f>G353*Fórmulas!B$10</f>
        <v>3085.7142857142858</v>
      </c>
      <c r="K353" s="1">
        <v>1</v>
      </c>
      <c r="L353" s="1">
        <f>((Fórmulas!C$6/Fórmulas!D$6)/0.7)*K353</f>
        <v>2.4489795918367347</v>
      </c>
      <c r="M353" s="1">
        <f>L353*Fórmulas!D$6</f>
        <v>857.14285714285711</v>
      </c>
    </row>
    <row r="354" spans="1:13" x14ac:dyDescent="0.25">
      <c r="A354" s="9" t="s">
        <v>323</v>
      </c>
      <c r="B354" s="27" t="s">
        <v>332</v>
      </c>
      <c r="C354" s="27"/>
      <c r="D354" s="27"/>
      <c r="E354" s="9">
        <v>2.4</v>
      </c>
      <c r="F354" s="9"/>
      <c r="G354" s="1">
        <f>((Fórmulas!C$7/Fórmulas!D$7)/Fórmulas!E$7)*E354</f>
        <v>6.8571428571428568</v>
      </c>
      <c r="H354" s="1">
        <f>G354*Fórmulas!B$9</f>
        <v>2400</v>
      </c>
      <c r="I354" s="7">
        <f>E354/Fórmulas!E$7</f>
        <v>4</v>
      </c>
      <c r="J354" s="17">
        <f>G354*Fórmulas!B$10</f>
        <v>4114.2857142857138</v>
      </c>
      <c r="K354" s="1">
        <v>1</v>
      </c>
      <c r="L354" s="1">
        <f>((Fórmulas!C$6/Fórmulas!D$6)/0.7)*K354</f>
        <v>2.4489795918367347</v>
      </c>
      <c r="M354" s="1">
        <f>L354*Fórmulas!D$6</f>
        <v>857.14285714285711</v>
      </c>
    </row>
    <row r="355" spans="1:13" x14ac:dyDescent="0.25">
      <c r="A355" s="9" t="s">
        <v>323</v>
      </c>
      <c r="B355" s="27" t="s">
        <v>333</v>
      </c>
      <c r="C355" s="27"/>
      <c r="D355" s="27"/>
      <c r="E355" s="9">
        <v>1.8</v>
      </c>
      <c r="F355" s="9"/>
      <c r="G355" s="1">
        <f>((Fórmulas!C$7/Fórmulas!D$7)/Fórmulas!E$7)*E355</f>
        <v>5.1428571428571432</v>
      </c>
      <c r="H355" s="1">
        <f>G355*Fórmulas!B$9</f>
        <v>1800.0000000000002</v>
      </c>
      <c r="I355" s="7">
        <f>E355/Fórmulas!E$7</f>
        <v>3</v>
      </c>
      <c r="J355" s="17">
        <f>G355*Fórmulas!B$10</f>
        <v>3085.7142857142858</v>
      </c>
      <c r="K355" s="1">
        <v>1</v>
      </c>
      <c r="L355" s="1">
        <f>((Fórmulas!C$6/Fórmulas!D$6)/0.7)*K355</f>
        <v>2.4489795918367347</v>
      </c>
      <c r="M355" s="1">
        <f>L355*Fórmulas!D$6</f>
        <v>857.14285714285711</v>
      </c>
    </row>
    <row r="356" spans="1:13" x14ac:dyDescent="0.25">
      <c r="A356" s="9" t="s">
        <v>323</v>
      </c>
      <c r="B356" s="27" t="s">
        <v>334</v>
      </c>
      <c r="C356" s="27"/>
      <c r="D356" s="27"/>
      <c r="E356" s="9">
        <v>1.8</v>
      </c>
      <c r="F356" s="9"/>
      <c r="G356" s="1">
        <f>((Fórmulas!C$7/Fórmulas!D$7)/Fórmulas!E$7)*E356</f>
        <v>5.1428571428571432</v>
      </c>
      <c r="H356" s="1">
        <f>G356*Fórmulas!B$9</f>
        <v>1800.0000000000002</v>
      </c>
      <c r="I356" s="7">
        <f>E356/Fórmulas!E$7</f>
        <v>3</v>
      </c>
      <c r="J356" s="17">
        <f>G356*Fórmulas!B$10</f>
        <v>3085.7142857142858</v>
      </c>
      <c r="K356" s="1">
        <v>1</v>
      </c>
      <c r="L356" s="1">
        <f>((Fórmulas!C$6/Fórmulas!D$6)/0.7)*K356</f>
        <v>2.4489795918367347</v>
      </c>
      <c r="M356" s="1">
        <f>L356*Fórmulas!D$6</f>
        <v>857.14285714285711</v>
      </c>
    </row>
    <row r="357" spans="1:13" x14ac:dyDescent="0.25">
      <c r="A357" s="9" t="s">
        <v>323</v>
      </c>
      <c r="B357" s="27" t="s">
        <v>513</v>
      </c>
      <c r="C357" s="27"/>
      <c r="D357" s="27"/>
      <c r="E357" s="9">
        <v>2.4</v>
      </c>
      <c r="F357" s="9"/>
      <c r="G357" s="1">
        <f>((Fórmulas!C$7/Fórmulas!D$7)/Fórmulas!E$7)*E357</f>
        <v>6.8571428571428568</v>
      </c>
      <c r="H357" s="1">
        <f>G357*Fórmulas!B$9</f>
        <v>2400</v>
      </c>
      <c r="I357" s="7">
        <f>E357/Fórmulas!E$7</f>
        <v>4</v>
      </c>
      <c r="J357" s="17">
        <f>G357*Fórmulas!B$10</f>
        <v>4114.2857142857138</v>
      </c>
      <c r="K357" s="1">
        <v>1</v>
      </c>
      <c r="L357" s="1">
        <f>((Fórmulas!C$6/Fórmulas!D$6)/0.7)*K357</f>
        <v>2.4489795918367347</v>
      </c>
      <c r="M357" s="1">
        <f>L357*Fórmulas!D$6</f>
        <v>857.14285714285711</v>
      </c>
    </row>
    <row r="358" spans="1:13" x14ac:dyDescent="0.25">
      <c r="A358" s="9" t="s">
        <v>323</v>
      </c>
      <c r="B358" s="27" t="s">
        <v>335</v>
      </c>
      <c r="C358" s="27"/>
      <c r="D358" s="27"/>
      <c r="E358" s="9">
        <v>1.8</v>
      </c>
      <c r="F358" s="9"/>
      <c r="G358" s="1">
        <f>((Fórmulas!C$7/Fórmulas!D$7)/Fórmulas!E$7)*E358</f>
        <v>5.1428571428571432</v>
      </c>
      <c r="H358" s="1">
        <f>G358*Fórmulas!B$9</f>
        <v>1800.0000000000002</v>
      </c>
      <c r="I358" s="7">
        <f>E358/Fórmulas!E$7</f>
        <v>3</v>
      </c>
      <c r="J358" s="17">
        <f>G358*Fórmulas!B$10</f>
        <v>3085.7142857142858</v>
      </c>
      <c r="K358" s="1">
        <v>1</v>
      </c>
      <c r="L358" s="1">
        <f>((Fórmulas!C$6/Fórmulas!D$6)/0.7)*K358</f>
        <v>2.4489795918367347</v>
      </c>
      <c r="M358" s="1">
        <f>L358*Fórmulas!D$6</f>
        <v>857.14285714285711</v>
      </c>
    </row>
    <row r="359" spans="1:13" x14ac:dyDescent="0.25">
      <c r="A359" s="9" t="s">
        <v>323</v>
      </c>
      <c r="B359" s="27" t="s">
        <v>336</v>
      </c>
      <c r="C359" s="27"/>
      <c r="D359" s="27"/>
      <c r="E359" s="9">
        <v>2.4</v>
      </c>
      <c r="F359" s="9"/>
      <c r="G359" s="1">
        <f>((Fórmulas!C$7/Fórmulas!D$7)/Fórmulas!E$7)*E359</f>
        <v>6.8571428571428568</v>
      </c>
      <c r="H359" s="1">
        <f>G359*Fórmulas!B$9</f>
        <v>2400</v>
      </c>
      <c r="I359" s="7">
        <f>E359/Fórmulas!E$7</f>
        <v>4</v>
      </c>
      <c r="J359" s="17">
        <f>G359*Fórmulas!B$10</f>
        <v>4114.2857142857138</v>
      </c>
      <c r="K359" s="1">
        <v>1</v>
      </c>
      <c r="L359" s="1">
        <f>((Fórmulas!C$6/Fórmulas!D$6)/0.7)*K359</f>
        <v>2.4489795918367347</v>
      </c>
      <c r="M359" s="1">
        <f>L359*Fórmulas!D$6</f>
        <v>857.14285714285711</v>
      </c>
    </row>
    <row r="360" spans="1:13" x14ac:dyDescent="0.25">
      <c r="A360" s="9" t="s">
        <v>323</v>
      </c>
      <c r="B360" s="27" t="s">
        <v>337</v>
      </c>
      <c r="C360" s="27"/>
      <c r="D360" s="27"/>
      <c r="E360" s="9">
        <v>1.8</v>
      </c>
      <c r="F360" s="9"/>
      <c r="G360" s="1">
        <f>((Fórmulas!C$7/Fórmulas!D$7)/Fórmulas!E$7)*E360</f>
        <v>5.1428571428571432</v>
      </c>
      <c r="H360" s="1">
        <f>G360*Fórmulas!B$9</f>
        <v>1800.0000000000002</v>
      </c>
      <c r="I360" s="7">
        <f>E360/Fórmulas!E$7</f>
        <v>3</v>
      </c>
      <c r="J360" s="17">
        <f>G360*Fórmulas!B$10</f>
        <v>3085.7142857142858</v>
      </c>
      <c r="K360" s="1">
        <v>1</v>
      </c>
      <c r="L360" s="1">
        <f>((Fórmulas!C$6/Fórmulas!D$6)/0.7)*K360</f>
        <v>2.4489795918367347</v>
      </c>
      <c r="M360" s="1">
        <f>L360*Fórmulas!D$6</f>
        <v>857.14285714285711</v>
      </c>
    </row>
    <row r="361" spans="1:13" x14ac:dyDescent="0.25">
      <c r="A361" s="9" t="s">
        <v>323</v>
      </c>
      <c r="B361" s="27" t="s">
        <v>338</v>
      </c>
      <c r="C361" s="27"/>
      <c r="D361" s="27"/>
      <c r="E361" s="9">
        <v>1.2</v>
      </c>
      <c r="F361" s="9"/>
      <c r="G361" s="1">
        <f>((Fórmulas!C$7/Fórmulas!D$7)/Fórmulas!E$7)*E361</f>
        <v>3.4285714285714284</v>
      </c>
      <c r="H361" s="1">
        <f>G361*Fórmulas!B$9</f>
        <v>1200</v>
      </c>
      <c r="I361" s="7">
        <f>E361/Fórmulas!E$7</f>
        <v>2</v>
      </c>
      <c r="J361" s="17">
        <f>G361*Fórmulas!B$10</f>
        <v>2057.1428571428569</v>
      </c>
      <c r="K361" s="1">
        <v>1</v>
      </c>
      <c r="L361" s="1">
        <f>((Fórmulas!C$6/Fórmulas!D$6)/0.7)*K361</f>
        <v>2.4489795918367347</v>
      </c>
      <c r="M361" s="1">
        <f>L361*Fórmulas!D$6</f>
        <v>857.14285714285711</v>
      </c>
    </row>
    <row r="362" spans="1:13" x14ac:dyDescent="0.25">
      <c r="A362" s="11" t="s">
        <v>323</v>
      </c>
      <c r="B362" s="27" t="s">
        <v>583</v>
      </c>
      <c r="C362" s="27"/>
      <c r="D362" s="27"/>
      <c r="E362" s="9">
        <v>1.8</v>
      </c>
      <c r="F362" s="9"/>
      <c r="G362" s="1">
        <f>((Fórmulas!C$7/Fórmulas!D$7)/Fórmulas!E$7)*E362</f>
        <v>5.1428571428571432</v>
      </c>
      <c r="H362" s="1">
        <f>G362*Fórmulas!B$9</f>
        <v>1800.0000000000002</v>
      </c>
      <c r="I362" s="7">
        <f>E362/Fórmulas!E$7</f>
        <v>3</v>
      </c>
      <c r="J362" s="17">
        <f>G362*Fórmulas!B$10</f>
        <v>3085.7142857142858</v>
      </c>
      <c r="K362" s="1">
        <v>1</v>
      </c>
      <c r="L362" s="1">
        <f>((Fórmulas!C$6/Fórmulas!D$6)/0.7)*K362</f>
        <v>2.4489795918367347</v>
      </c>
      <c r="M362" s="1">
        <f>L362*Fórmulas!D$6</f>
        <v>857.14285714285711</v>
      </c>
    </row>
    <row r="363" spans="1:13" x14ac:dyDescent="0.25">
      <c r="A363" s="9" t="s">
        <v>323</v>
      </c>
      <c r="B363" s="27" t="s">
        <v>339</v>
      </c>
      <c r="C363" s="27"/>
      <c r="D363" s="27"/>
      <c r="E363" s="9">
        <v>1.2</v>
      </c>
      <c r="F363" s="9"/>
      <c r="G363" s="1">
        <f>((Fórmulas!C$7/Fórmulas!D$7)/Fórmulas!E$7)*E363</f>
        <v>3.4285714285714284</v>
      </c>
      <c r="H363" s="1">
        <f>G363*Fórmulas!B$9</f>
        <v>1200</v>
      </c>
      <c r="I363" s="7">
        <f>E363/Fórmulas!E$7</f>
        <v>2</v>
      </c>
      <c r="J363" s="17">
        <f>G363*Fórmulas!B$10</f>
        <v>2057.1428571428569</v>
      </c>
      <c r="K363" s="1">
        <v>1</v>
      </c>
      <c r="L363" s="1">
        <f>((Fórmulas!C$6/Fórmulas!D$6)/0.7)*K363</f>
        <v>2.4489795918367347</v>
      </c>
      <c r="M363" s="1">
        <f>L363*Fórmulas!D$6</f>
        <v>857.14285714285711</v>
      </c>
    </row>
    <row r="364" spans="1:13" x14ac:dyDescent="0.25">
      <c r="A364" s="11" t="s">
        <v>323</v>
      </c>
      <c r="B364" s="27" t="s">
        <v>584</v>
      </c>
      <c r="C364" s="27"/>
      <c r="D364" s="27"/>
      <c r="E364" s="11">
        <v>1.8</v>
      </c>
      <c r="F364" s="11"/>
      <c r="G364" s="1">
        <f>((Fórmulas!C$7/Fórmulas!D$7)/Fórmulas!E$7)*E364</f>
        <v>5.1428571428571432</v>
      </c>
      <c r="H364" s="1">
        <f>G364*Fórmulas!B$9</f>
        <v>1800.0000000000002</v>
      </c>
      <c r="I364" s="7">
        <f>E364/Fórmulas!E$7</f>
        <v>3</v>
      </c>
      <c r="J364" s="17">
        <f>G364*Fórmulas!B$10</f>
        <v>3085.7142857142858</v>
      </c>
      <c r="K364" s="1">
        <v>1</v>
      </c>
      <c r="L364" s="1">
        <f>((Fórmulas!C$6/Fórmulas!D$6)/0.7)*K364</f>
        <v>2.4489795918367347</v>
      </c>
      <c r="M364" s="1">
        <f>L364*Fórmulas!D$6</f>
        <v>857.14285714285711</v>
      </c>
    </row>
    <row r="365" spans="1:13" x14ac:dyDescent="0.25">
      <c r="A365" s="9" t="s">
        <v>323</v>
      </c>
      <c r="B365" s="27" t="s">
        <v>380</v>
      </c>
      <c r="C365" s="27"/>
      <c r="D365" s="27"/>
      <c r="E365" s="9">
        <v>2.4</v>
      </c>
      <c r="F365" s="9"/>
      <c r="G365" s="1">
        <f>((Fórmulas!C$7/Fórmulas!D$7)/Fórmulas!E$7)*E365</f>
        <v>6.8571428571428568</v>
      </c>
      <c r="H365" s="1">
        <f>G365*Fórmulas!B$9</f>
        <v>2400</v>
      </c>
      <c r="I365" s="7">
        <f>E365/Fórmulas!E$7</f>
        <v>4</v>
      </c>
      <c r="J365" s="17">
        <f>G365*Fórmulas!B$10</f>
        <v>4114.2857142857138</v>
      </c>
      <c r="K365" s="1">
        <v>1</v>
      </c>
      <c r="L365" s="1">
        <f>((Fórmulas!C$6/Fórmulas!D$6)/0.7)*K365</f>
        <v>2.4489795918367347</v>
      </c>
      <c r="M365" s="1">
        <f>L365*Fórmulas!D$6</f>
        <v>857.14285714285711</v>
      </c>
    </row>
    <row r="366" spans="1:13" x14ac:dyDescent="0.25">
      <c r="A366" s="9" t="s">
        <v>323</v>
      </c>
      <c r="B366" s="27" t="s">
        <v>381</v>
      </c>
      <c r="C366" s="27"/>
      <c r="D366" s="27"/>
      <c r="E366" s="9">
        <v>3</v>
      </c>
      <c r="F366" s="9"/>
      <c r="G366" s="1">
        <f>((Fórmulas!C$7/Fórmulas!D$7)/Fórmulas!E$7)*E366</f>
        <v>8.5714285714285712</v>
      </c>
      <c r="H366" s="1">
        <f>G366*Fórmulas!B$9</f>
        <v>3000</v>
      </c>
      <c r="I366" s="7">
        <f>E366/Fórmulas!E$7</f>
        <v>5</v>
      </c>
      <c r="J366" s="17">
        <f>G366*Fórmulas!B$10</f>
        <v>5142.8571428571431</v>
      </c>
      <c r="K366" s="1">
        <v>1</v>
      </c>
      <c r="L366" s="1">
        <f>((Fórmulas!C$6/Fórmulas!D$6)/0.7)*K366</f>
        <v>2.4489795918367347</v>
      </c>
      <c r="M366" s="1">
        <f>L366*Fórmulas!D$6</f>
        <v>857.14285714285711</v>
      </c>
    </row>
    <row r="367" spans="1:13" x14ac:dyDescent="0.25">
      <c r="A367" s="9" t="s">
        <v>323</v>
      </c>
      <c r="B367" s="27" t="s">
        <v>913</v>
      </c>
      <c r="C367" s="27"/>
      <c r="D367" s="27"/>
      <c r="E367" s="9">
        <v>3</v>
      </c>
      <c r="F367" s="9"/>
      <c r="G367" s="1">
        <f>((Fórmulas!C$7/Fórmulas!D$7)/Fórmulas!E$7)*E367</f>
        <v>8.5714285714285712</v>
      </c>
      <c r="H367" s="1">
        <f>G367*Fórmulas!B$9</f>
        <v>3000</v>
      </c>
      <c r="I367" s="7">
        <f>E367/Fórmulas!E$7</f>
        <v>5</v>
      </c>
      <c r="J367" s="17">
        <f>G367*Fórmulas!B$10</f>
        <v>5142.8571428571431</v>
      </c>
      <c r="K367" s="1">
        <v>1</v>
      </c>
      <c r="L367" s="1">
        <f>((Fórmulas!C$6/Fórmulas!D$6)/0.7)*K367</f>
        <v>2.4489795918367347</v>
      </c>
      <c r="M367" s="1">
        <f>L367*Fórmulas!D$6</f>
        <v>857.14285714285711</v>
      </c>
    </row>
    <row r="368" spans="1:13" s="24" customFormat="1" x14ac:dyDescent="0.25">
      <c r="A368" s="24" t="s">
        <v>323</v>
      </c>
      <c r="B368" s="27" t="s">
        <v>914</v>
      </c>
      <c r="C368" s="27"/>
      <c r="D368" s="27"/>
      <c r="E368" s="24">
        <v>3</v>
      </c>
      <c r="G368" s="1">
        <f>((Fórmulas!C$7/Fórmulas!D$7)/Fórmulas!E$7)*E368</f>
        <v>8.5714285714285712</v>
      </c>
      <c r="H368" s="1">
        <f>G368*Fórmulas!B$9</f>
        <v>3000</v>
      </c>
      <c r="I368" s="7">
        <f>E368/Fórmulas!E$7</f>
        <v>5</v>
      </c>
      <c r="J368" s="17">
        <f>G368*Fórmulas!B$10</f>
        <v>5142.8571428571431</v>
      </c>
      <c r="K368" s="1">
        <v>1</v>
      </c>
      <c r="L368" s="1">
        <f>((Fórmulas!C$6/Fórmulas!D$6)/0.7)*K368</f>
        <v>2.4489795918367347</v>
      </c>
      <c r="M368" s="1">
        <f>L368*Fórmulas!D$6</f>
        <v>857.14285714285711</v>
      </c>
    </row>
    <row r="369" spans="1:13" s="24" customFormat="1" x14ac:dyDescent="0.25">
      <c r="B369" s="27"/>
      <c r="C369" s="27"/>
      <c r="D369" s="27"/>
      <c r="E369" s="24">
        <v>0</v>
      </c>
      <c r="G369" s="1">
        <f>((Fórmulas!C$7/Fórmulas!D$7)/Fórmulas!E$7)*E369</f>
        <v>0</v>
      </c>
      <c r="H369" s="1">
        <f>G369*Fórmulas!B$9</f>
        <v>0</v>
      </c>
      <c r="I369" s="7">
        <f>E369/Fórmulas!E$7</f>
        <v>0</v>
      </c>
      <c r="J369" s="17">
        <f>G369*Fórmulas!B$10</f>
        <v>0</v>
      </c>
      <c r="K369" s="1">
        <v>1</v>
      </c>
      <c r="L369" s="1">
        <f>((Fórmulas!C$6/Fórmulas!D$6)/0.7)*K369</f>
        <v>2.4489795918367347</v>
      </c>
      <c r="M369" s="1">
        <f>L369*Fórmulas!D$6</f>
        <v>857.14285714285711</v>
      </c>
    </row>
    <row r="370" spans="1:13" s="24" customFormat="1" x14ac:dyDescent="0.25">
      <c r="B370" s="27"/>
      <c r="C370" s="27"/>
      <c r="D370" s="27"/>
      <c r="E370" s="24">
        <v>0</v>
      </c>
      <c r="G370" s="1">
        <f>((Fórmulas!C$7/Fórmulas!D$7)/Fórmulas!E$7)*E370</f>
        <v>0</v>
      </c>
      <c r="H370" s="1">
        <f>G370*Fórmulas!B$9</f>
        <v>0</v>
      </c>
      <c r="I370" s="7">
        <f>E370/Fórmulas!E$7</f>
        <v>0</v>
      </c>
      <c r="J370" s="17">
        <f>G370*Fórmulas!B$10</f>
        <v>0</v>
      </c>
      <c r="K370" s="1">
        <v>1</v>
      </c>
      <c r="L370" s="1">
        <f>((Fórmulas!C$6/Fórmulas!D$6)/0.7)*K370</f>
        <v>2.4489795918367347</v>
      </c>
      <c r="M370" s="1">
        <f>L370*Fórmulas!D$6</f>
        <v>857.14285714285711</v>
      </c>
    </row>
    <row r="371" spans="1:13" s="24" customFormat="1" x14ac:dyDescent="0.25">
      <c r="B371" s="27"/>
      <c r="C371" s="27"/>
      <c r="D371" s="27"/>
      <c r="E371" s="24">
        <v>0</v>
      </c>
      <c r="G371" s="1">
        <f>((Fórmulas!C$7/Fórmulas!D$7)/Fórmulas!E$7)*E371</f>
        <v>0</v>
      </c>
      <c r="H371" s="1">
        <f>G371*Fórmulas!B$9</f>
        <v>0</v>
      </c>
      <c r="I371" s="7">
        <f>E371/Fórmulas!E$7</f>
        <v>0</v>
      </c>
      <c r="J371" s="17">
        <f>G371*Fórmulas!B$10</f>
        <v>0</v>
      </c>
      <c r="K371" s="1">
        <v>1</v>
      </c>
      <c r="L371" s="1">
        <f>((Fórmulas!C$6/Fórmulas!D$6)/0.7)*K371</f>
        <v>2.4489795918367347</v>
      </c>
      <c r="M371" s="1">
        <f>L371*Fórmulas!D$6</f>
        <v>857.14285714285711</v>
      </c>
    </row>
    <row r="372" spans="1:13" s="24" customFormat="1" x14ac:dyDescent="0.25">
      <c r="B372" s="27"/>
      <c r="C372" s="27"/>
      <c r="D372" s="27"/>
      <c r="E372" s="24">
        <v>0</v>
      </c>
      <c r="G372" s="1">
        <f>((Fórmulas!C$7/Fórmulas!D$7)/Fórmulas!E$7)*E372</f>
        <v>0</v>
      </c>
      <c r="H372" s="1">
        <f>G372*Fórmulas!B$9</f>
        <v>0</v>
      </c>
      <c r="I372" s="7">
        <f>E372/Fórmulas!E$7</f>
        <v>0</v>
      </c>
      <c r="J372" s="17">
        <f>G372*Fórmulas!B$10</f>
        <v>0</v>
      </c>
      <c r="K372" s="1">
        <v>1</v>
      </c>
      <c r="L372" s="1">
        <f>((Fórmulas!C$6/Fórmulas!D$6)/0.7)*K372</f>
        <v>2.4489795918367347</v>
      </c>
      <c r="M372" s="1">
        <f>L372*Fórmulas!D$6</f>
        <v>857.14285714285711</v>
      </c>
    </row>
    <row r="373" spans="1:13" x14ac:dyDescent="0.25">
      <c r="A373" s="11" t="s">
        <v>312</v>
      </c>
      <c r="B373" s="26" t="s">
        <v>597</v>
      </c>
      <c r="C373" s="26"/>
      <c r="D373" s="26"/>
      <c r="E373" s="9">
        <v>2.4</v>
      </c>
      <c r="F373" s="9"/>
      <c r="G373" s="1">
        <f>((Fórmulas!C$7/Fórmulas!D$7)/Fórmulas!E$7)*E373</f>
        <v>6.8571428571428568</v>
      </c>
      <c r="H373" s="1">
        <f>G373*Fórmulas!B$9</f>
        <v>2400</v>
      </c>
      <c r="I373" s="7">
        <f>E373/Fórmulas!E$7</f>
        <v>4</v>
      </c>
      <c r="J373" s="17">
        <f>G373*Fórmulas!B$10</f>
        <v>4114.2857142857138</v>
      </c>
      <c r="K373" s="1">
        <v>1</v>
      </c>
      <c r="L373" s="1">
        <f>((Fórmulas!C$6/Fórmulas!D$6)/0.7)*K373</f>
        <v>2.4489795918367347</v>
      </c>
      <c r="M373" s="1">
        <f>L373*Fórmulas!D$6</f>
        <v>857.14285714285711</v>
      </c>
    </row>
    <row r="374" spans="1:13" x14ac:dyDescent="0.25">
      <c r="A374" s="9" t="s">
        <v>312</v>
      </c>
      <c r="B374" s="26" t="s">
        <v>595</v>
      </c>
      <c r="C374" s="26"/>
      <c r="D374" s="26"/>
      <c r="E374" s="9">
        <v>2.4</v>
      </c>
      <c r="F374" s="9"/>
      <c r="G374" s="1">
        <f>((Fórmulas!C$7/Fórmulas!D$7)/Fórmulas!E$7)*E374</f>
        <v>6.8571428571428568</v>
      </c>
      <c r="H374" s="1">
        <f>G374*Fórmulas!B$9</f>
        <v>2400</v>
      </c>
      <c r="I374" s="7">
        <f>E374/Fórmulas!E$7</f>
        <v>4</v>
      </c>
      <c r="J374" s="17">
        <f>G374*Fórmulas!B$10</f>
        <v>4114.2857142857138</v>
      </c>
      <c r="K374" s="1">
        <v>1</v>
      </c>
      <c r="L374" s="1">
        <f>((Fórmulas!C$6/Fórmulas!D$6)/0.7)*K374</f>
        <v>2.4489795918367347</v>
      </c>
      <c r="M374" s="1">
        <f>L374*Fórmulas!D$6</f>
        <v>857.14285714285711</v>
      </c>
    </row>
    <row r="375" spans="1:13" x14ac:dyDescent="0.25">
      <c r="A375" s="11" t="s">
        <v>312</v>
      </c>
      <c r="B375" s="27" t="s">
        <v>596</v>
      </c>
      <c r="C375" s="27"/>
      <c r="D375" s="27"/>
      <c r="E375" s="11">
        <v>2.4</v>
      </c>
      <c r="F375" s="9"/>
      <c r="G375" s="1">
        <f>((Fórmulas!C$7/Fórmulas!D$7)/Fórmulas!E$7)*E375</f>
        <v>6.8571428571428568</v>
      </c>
      <c r="H375" s="1">
        <f>G375*Fórmulas!B$9</f>
        <v>2400</v>
      </c>
      <c r="I375" s="7">
        <f>E375/Fórmulas!E$7</f>
        <v>4</v>
      </c>
      <c r="J375" s="17">
        <f>G375*Fórmulas!B$10</f>
        <v>4114.2857142857138</v>
      </c>
      <c r="K375" s="1">
        <v>1</v>
      </c>
      <c r="L375" s="1">
        <f>((Fórmulas!C$6/Fórmulas!D$6)/0.7)*K375</f>
        <v>2.4489795918367347</v>
      </c>
      <c r="M375" s="1">
        <f>L375*Fórmulas!D$6</f>
        <v>857.14285714285711</v>
      </c>
    </row>
    <row r="376" spans="1:13" x14ac:dyDescent="0.25">
      <c r="A376" s="11" t="s">
        <v>312</v>
      </c>
      <c r="B376" s="27" t="s">
        <v>320</v>
      </c>
      <c r="C376" s="27"/>
      <c r="D376" s="27"/>
      <c r="E376" s="11">
        <v>3.6</v>
      </c>
      <c r="F376" s="9"/>
      <c r="G376" s="1">
        <f>((Fórmulas!C$7/Fórmulas!D$7)/Fórmulas!E$7)*E376</f>
        <v>10.285714285714286</v>
      </c>
      <c r="H376" s="1">
        <f>G376*Fórmulas!B$9</f>
        <v>3600.0000000000005</v>
      </c>
      <c r="I376" s="7">
        <f>E376/Fórmulas!E$7</f>
        <v>6</v>
      </c>
      <c r="J376" s="17">
        <f>G376*Fórmulas!B$10</f>
        <v>6171.4285714285716</v>
      </c>
      <c r="K376" s="1">
        <v>1</v>
      </c>
      <c r="L376" s="1">
        <f>((Fórmulas!C$6/Fórmulas!D$6)/0.7)*K376</f>
        <v>2.4489795918367347</v>
      </c>
      <c r="M376" s="1">
        <f>L376*Fórmulas!D$6</f>
        <v>857.14285714285711</v>
      </c>
    </row>
    <row r="377" spans="1:13" x14ac:dyDescent="0.25">
      <c r="A377" s="9"/>
      <c r="B377" s="26"/>
      <c r="C377" s="26"/>
      <c r="D377" s="26"/>
      <c r="E377" s="9">
        <v>0</v>
      </c>
      <c r="F377" s="9"/>
      <c r="G377" s="1">
        <f>((Fórmulas!C$7/Fórmulas!D$7)/Fórmulas!E$7)*E377</f>
        <v>0</v>
      </c>
      <c r="H377" s="1">
        <f>G377*Fórmulas!B$9</f>
        <v>0</v>
      </c>
      <c r="I377" s="7">
        <f>E377/Fórmulas!E$7</f>
        <v>0</v>
      </c>
      <c r="J377" s="17">
        <f>G377*Fórmulas!B$10</f>
        <v>0</v>
      </c>
      <c r="K377" s="1">
        <v>1</v>
      </c>
      <c r="L377" s="1">
        <f>((Fórmulas!C$6/Fórmulas!D$6)/0.7)*K377</f>
        <v>2.4489795918367347</v>
      </c>
      <c r="M377" s="1">
        <f>L377*Fórmulas!D$6</f>
        <v>857.14285714285711</v>
      </c>
    </row>
    <row r="378" spans="1:13" x14ac:dyDescent="0.25">
      <c r="A378" s="11" t="s">
        <v>443</v>
      </c>
      <c r="B378" s="26" t="s">
        <v>444</v>
      </c>
      <c r="C378" s="26"/>
      <c r="D378" s="26"/>
      <c r="E378" s="9">
        <v>2.1</v>
      </c>
      <c r="F378" s="9"/>
      <c r="G378" s="1">
        <f>((Fórmulas!C$7/Fórmulas!D$7)/Fórmulas!E$7)*E378</f>
        <v>6</v>
      </c>
      <c r="H378" s="1">
        <f>G378*Fórmulas!B$9</f>
        <v>2100</v>
      </c>
      <c r="I378" s="7">
        <f>E378/Fórmulas!E$7</f>
        <v>3.5000000000000004</v>
      </c>
      <c r="J378" s="17">
        <f>G378*Fórmulas!B$10</f>
        <v>3600</v>
      </c>
      <c r="K378" s="1">
        <v>1</v>
      </c>
      <c r="L378" s="1">
        <f>((Fórmulas!C$6/Fórmulas!D$6)/0.7)*K378</f>
        <v>2.4489795918367347</v>
      </c>
      <c r="M378" s="1">
        <f>L378*Fórmulas!D$6</f>
        <v>857.14285714285711</v>
      </c>
    </row>
    <row r="379" spans="1:13" x14ac:dyDescent="0.25">
      <c r="A379" s="9" t="s">
        <v>443</v>
      </c>
      <c r="B379" s="27" t="s">
        <v>807</v>
      </c>
      <c r="C379" s="27"/>
      <c r="D379" s="27"/>
      <c r="E379" s="9">
        <v>3.5</v>
      </c>
      <c r="F379" s="9"/>
      <c r="G379" s="1">
        <f>((Fórmulas!C$7/Fórmulas!D$7)/Fórmulas!E$7)*E379</f>
        <v>10</v>
      </c>
      <c r="H379" s="1">
        <f>G379*Fórmulas!B$9</f>
        <v>3500</v>
      </c>
      <c r="I379" s="7">
        <f>E379/Fórmulas!E$7</f>
        <v>5.8333333333333339</v>
      </c>
      <c r="J379" s="17">
        <f>G379*Fórmulas!B$10</f>
        <v>6000</v>
      </c>
      <c r="K379" s="1">
        <v>1</v>
      </c>
      <c r="L379" s="1">
        <f>((Fórmulas!C$6/Fórmulas!D$6)/0.7)*K379</f>
        <v>2.4489795918367347</v>
      </c>
      <c r="M379" s="1">
        <f>L379*Fórmulas!D$6</f>
        <v>857.14285714285711</v>
      </c>
    </row>
    <row r="380" spans="1:13" x14ac:dyDescent="0.25">
      <c r="A380" s="9"/>
      <c r="B380" s="26"/>
      <c r="C380" s="26"/>
      <c r="D380" s="26"/>
      <c r="E380" s="9">
        <v>0</v>
      </c>
      <c r="F380" s="9"/>
      <c r="G380" s="1">
        <f>((Fórmulas!C$7/Fórmulas!D$7)/Fórmulas!E$7)*E380</f>
        <v>0</v>
      </c>
      <c r="H380" s="1">
        <f>G380*Fórmulas!B$9</f>
        <v>0</v>
      </c>
      <c r="I380" s="7">
        <f>E380/Fórmulas!E$7</f>
        <v>0</v>
      </c>
      <c r="J380" s="17">
        <f>G380*Fórmulas!B$10</f>
        <v>0</v>
      </c>
      <c r="K380" s="1">
        <v>1</v>
      </c>
      <c r="L380" s="1">
        <f>((Fórmulas!C$6/Fórmulas!D$6)/0.7)*K380</f>
        <v>2.4489795918367347</v>
      </c>
      <c r="M380" s="1">
        <f>L380*Fórmulas!D$6</f>
        <v>857.14285714285711</v>
      </c>
    </row>
    <row r="381" spans="1:13" x14ac:dyDescent="0.25">
      <c r="A381" s="9"/>
      <c r="B381" s="26"/>
      <c r="C381" s="26"/>
      <c r="D381" s="26"/>
      <c r="E381" s="9">
        <v>0</v>
      </c>
      <c r="F381" s="9"/>
      <c r="G381" s="1">
        <f>((Fórmulas!C$7/Fórmulas!D$7)/Fórmulas!E$7)*E381</f>
        <v>0</v>
      </c>
      <c r="H381" s="1">
        <f>G381*Fórmulas!B$9</f>
        <v>0</v>
      </c>
      <c r="I381" s="7">
        <f>E381/Fórmulas!E$7</f>
        <v>0</v>
      </c>
      <c r="J381" s="17">
        <f>G381*Fórmulas!B$10</f>
        <v>0</v>
      </c>
      <c r="K381" s="1">
        <v>1</v>
      </c>
      <c r="L381" s="1">
        <f>((Fórmulas!C$6/Fórmulas!D$6)/0.7)*K381</f>
        <v>2.4489795918367347</v>
      </c>
      <c r="M381" s="1">
        <f>L381*Fórmulas!D$6</f>
        <v>857.14285714285711</v>
      </c>
    </row>
    <row r="382" spans="1:13" x14ac:dyDescent="0.25">
      <c r="B382" s="27"/>
      <c r="C382" s="27"/>
      <c r="D382" s="27"/>
      <c r="E382" s="9">
        <v>0</v>
      </c>
      <c r="F382" s="9"/>
      <c r="G382" s="1">
        <f>((Fórmulas!C$7/Fórmulas!D$7)/Fórmulas!E$7)*E382</f>
        <v>0</v>
      </c>
      <c r="H382" s="1">
        <f>G382*Fórmulas!B$9</f>
        <v>0</v>
      </c>
      <c r="I382" s="7">
        <f>E382/Fórmulas!E$7</f>
        <v>0</v>
      </c>
      <c r="J382" s="17">
        <f>G382*Fórmulas!B$10</f>
        <v>0</v>
      </c>
      <c r="K382" s="1">
        <v>1</v>
      </c>
      <c r="L382" s="1">
        <f>((Fórmulas!C$6/Fórmulas!D$6)/0.7)*K382</f>
        <v>2.4489795918367347</v>
      </c>
      <c r="M382" s="1">
        <f>L382*Fórmulas!D$6</f>
        <v>857.14285714285711</v>
      </c>
    </row>
    <row r="383" spans="1:13" x14ac:dyDescent="0.25">
      <c r="A383" s="9" t="s">
        <v>631</v>
      </c>
      <c r="B383" s="32" t="s">
        <v>632</v>
      </c>
      <c r="C383" s="32"/>
      <c r="D383" s="32"/>
      <c r="E383" s="9">
        <v>5</v>
      </c>
      <c r="F383" s="9"/>
      <c r="G383" s="1">
        <f>((Fórmulas!C$7/Fórmulas!D$7)/Fórmulas!E$7)*E383</f>
        <v>14.285714285714286</v>
      </c>
      <c r="H383" s="1">
        <f>G383*Fórmulas!B$9</f>
        <v>5000</v>
      </c>
      <c r="I383" s="7">
        <f>E383/Fórmulas!E$7</f>
        <v>8.3333333333333339</v>
      </c>
      <c r="J383" s="17">
        <f>G383*Fórmulas!B$10</f>
        <v>8571.4285714285725</v>
      </c>
      <c r="K383" s="1">
        <v>1</v>
      </c>
      <c r="L383" s="1">
        <f>((Fórmulas!C$6/Fórmulas!D$6)/0.7)*K383</f>
        <v>2.4489795918367347</v>
      </c>
      <c r="M383" s="1">
        <f>L383*Fórmulas!D$6</f>
        <v>857.14285714285711</v>
      </c>
    </row>
    <row r="384" spans="1:13" x14ac:dyDescent="0.25">
      <c r="A384" s="11" t="s">
        <v>631</v>
      </c>
      <c r="B384" s="32" t="s">
        <v>635</v>
      </c>
      <c r="C384" s="32"/>
      <c r="D384" s="32"/>
      <c r="E384" s="9">
        <v>5</v>
      </c>
      <c r="F384" s="9"/>
      <c r="G384" s="1">
        <f>((Fórmulas!C$7/Fórmulas!D$7)/Fórmulas!E$7)*E384</f>
        <v>14.285714285714286</v>
      </c>
      <c r="H384" s="1">
        <f>G384*Fórmulas!B$9</f>
        <v>5000</v>
      </c>
      <c r="I384" s="7">
        <f>E384/Fórmulas!E$7</f>
        <v>8.3333333333333339</v>
      </c>
      <c r="J384" s="17">
        <f>G384*Fórmulas!B$10</f>
        <v>8571.4285714285725</v>
      </c>
      <c r="K384" s="1">
        <v>1</v>
      </c>
      <c r="L384" s="1">
        <f>((Fórmulas!C$6/Fórmulas!D$6)/0.7)*K384</f>
        <v>2.4489795918367347</v>
      </c>
      <c r="M384" s="1">
        <f>L384*Fórmulas!D$6</f>
        <v>857.14285714285711</v>
      </c>
    </row>
    <row r="385" spans="1:13" x14ac:dyDescent="0.25">
      <c r="A385" s="11" t="s">
        <v>631</v>
      </c>
      <c r="B385" s="32" t="s">
        <v>636</v>
      </c>
      <c r="C385" s="32"/>
      <c r="D385" s="32"/>
      <c r="E385" s="9">
        <v>3.5</v>
      </c>
      <c r="F385" s="9"/>
      <c r="G385" s="1">
        <f>((Fórmulas!C$7/Fórmulas!D$7)/Fórmulas!E$7)*E385</f>
        <v>10</v>
      </c>
      <c r="H385" s="1">
        <f>G385*Fórmulas!B$9</f>
        <v>3500</v>
      </c>
      <c r="I385" s="7">
        <f>E385/Fórmulas!E$7</f>
        <v>5.8333333333333339</v>
      </c>
      <c r="J385" s="17">
        <f>G385*Fórmulas!B$10</f>
        <v>6000</v>
      </c>
      <c r="K385" s="1">
        <v>1</v>
      </c>
      <c r="L385" s="1">
        <f>((Fórmulas!C$6/Fórmulas!D$6)/0.7)*K385</f>
        <v>2.4489795918367347</v>
      </c>
      <c r="M385" s="1">
        <f>L385*Fórmulas!D$6</f>
        <v>857.14285714285711</v>
      </c>
    </row>
    <row r="386" spans="1:13" x14ac:dyDescent="0.25">
      <c r="A386" s="11" t="s">
        <v>631</v>
      </c>
      <c r="B386" s="32" t="s">
        <v>637</v>
      </c>
      <c r="C386" s="32"/>
      <c r="D386" s="32"/>
      <c r="E386" s="9">
        <v>3.5</v>
      </c>
      <c r="F386" s="9"/>
      <c r="G386" s="1">
        <f>((Fórmulas!C$7/Fórmulas!D$7)/Fórmulas!E$7)*E386</f>
        <v>10</v>
      </c>
      <c r="H386" s="1">
        <f>G386*Fórmulas!B$9</f>
        <v>3500</v>
      </c>
      <c r="I386" s="7">
        <f>E386/Fórmulas!E$7</f>
        <v>5.8333333333333339</v>
      </c>
      <c r="J386" s="17">
        <f>G386*Fórmulas!B$10</f>
        <v>6000</v>
      </c>
      <c r="K386" s="1">
        <v>1</v>
      </c>
      <c r="L386" s="1">
        <f>((Fórmulas!C$6/Fórmulas!D$6)/0.7)*K386</f>
        <v>2.4489795918367347</v>
      </c>
      <c r="M386" s="1">
        <f>L386*Fórmulas!D$6</f>
        <v>857.14285714285711</v>
      </c>
    </row>
    <row r="387" spans="1:13" x14ac:dyDescent="0.25">
      <c r="A387" s="11" t="s">
        <v>631</v>
      </c>
      <c r="B387" s="32" t="s">
        <v>634</v>
      </c>
      <c r="C387" s="32"/>
      <c r="D387" s="32"/>
      <c r="E387" s="9">
        <v>3.5</v>
      </c>
      <c r="F387" s="9"/>
      <c r="G387" s="1">
        <f>((Fórmulas!C$7/Fórmulas!D$7)/Fórmulas!E$7)*E387</f>
        <v>10</v>
      </c>
      <c r="H387" s="1">
        <f>G387*Fórmulas!B$9</f>
        <v>3500</v>
      </c>
      <c r="I387" s="7">
        <f>E387/Fórmulas!E$7</f>
        <v>5.8333333333333339</v>
      </c>
      <c r="J387" s="17">
        <f>G387*Fórmulas!B$10</f>
        <v>6000</v>
      </c>
      <c r="K387" s="1">
        <v>1</v>
      </c>
      <c r="L387" s="1">
        <f>((Fórmulas!C$6/Fórmulas!D$6)/0.7)*K387</f>
        <v>2.4489795918367347</v>
      </c>
      <c r="M387" s="1">
        <f>L387*Fórmulas!D$6</f>
        <v>857.14285714285711</v>
      </c>
    </row>
    <row r="388" spans="1:13" x14ac:dyDescent="0.25">
      <c r="A388" s="11" t="s">
        <v>631</v>
      </c>
      <c r="B388" s="32" t="s">
        <v>633</v>
      </c>
      <c r="C388" s="32"/>
      <c r="D388" s="32"/>
      <c r="E388" s="9">
        <v>3.5</v>
      </c>
      <c r="F388" s="9"/>
      <c r="G388" s="1">
        <f>((Fórmulas!C$7/Fórmulas!D$7)/Fórmulas!E$7)*E388</f>
        <v>10</v>
      </c>
      <c r="H388" s="1">
        <f>G388*Fórmulas!B$9</f>
        <v>3500</v>
      </c>
      <c r="I388" s="7">
        <f>E388/Fórmulas!E$7</f>
        <v>5.8333333333333339</v>
      </c>
      <c r="J388" s="17">
        <f>G388*Fórmulas!B$10</f>
        <v>6000</v>
      </c>
      <c r="K388" s="1">
        <v>1</v>
      </c>
      <c r="L388" s="1">
        <f>((Fórmulas!C$6/Fórmulas!D$6)/0.7)*K388</f>
        <v>2.4489795918367347</v>
      </c>
      <c r="M388" s="1">
        <f>L388*Fórmulas!D$6</f>
        <v>857.14285714285711</v>
      </c>
    </row>
    <row r="389" spans="1:13" x14ac:dyDescent="0.25">
      <c r="A389" s="9"/>
      <c r="B389" s="26"/>
      <c r="C389" s="26"/>
      <c r="D389" s="26"/>
      <c r="E389" s="9">
        <v>0</v>
      </c>
      <c r="F389" s="9"/>
      <c r="G389" s="1">
        <f>((Fórmulas!C$7/Fórmulas!D$7)/Fórmulas!E$7)*E389</f>
        <v>0</v>
      </c>
      <c r="H389" s="1">
        <f>G389*Fórmulas!B$9</f>
        <v>0</v>
      </c>
      <c r="I389" s="7">
        <f>E389/Fórmulas!E$7</f>
        <v>0</v>
      </c>
      <c r="J389" s="17">
        <f>G389*Fórmulas!B$10</f>
        <v>0</v>
      </c>
      <c r="K389" s="1">
        <v>1</v>
      </c>
      <c r="L389" s="1">
        <f>((Fórmulas!C$6/Fórmulas!D$6)/0.7)*K389</f>
        <v>2.4489795918367347</v>
      </c>
      <c r="M389" s="1">
        <f>L389*Fórmulas!D$6</f>
        <v>857.14285714285711</v>
      </c>
    </row>
    <row r="390" spans="1:13" x14ac:dyDescent="0.25">
      <c r="A390" s="9"/>
      <c r="B390" s="26"/>
      <c r="C390" s="26"/>
      <c r="D390" s="26"/>
      <c r="E390" s="9">
        <v>0</v>
      </c>
      <c r="F390" s="9"/>
      <c r="G390" s="1">
        <f>((Fórmulas!C$7/Fórmulas!D$7)/Fórmulas!E$7)*E390</f>
        <v>0</v>
      </c>
      <c r="H390" s="1">
        <f>G390*Fórmulas!B$9</f>
        <v>0</v>
      </c>
      <c r="I390" s="7">
        <f>E390/Fórmulas!E$7</f>
        <v>0</v>
      </c>
      <c r="J390" s="17">
        <f>G390*Fórmulas!B$10</f>
        <v>0</v>
      </c>
      <c r="K390" s="1">
        <v>1</v>
      </c>
      <c r="L390" s="1">
        <f>((Fórmulas!C$6/Fórmulas!D$6)/0.7)*K390</f>
        <v>2.4489795918367347</v>
      </c>
      <c r="M390" s="1">
        <f>L390*Fórmulas!D$6</f>
        <v>857.14285714285711</v>
      </c>
    </row>
    <row r="391" spans="1:13" x14ac:dyDescent="0.25">
      <c r="A391" s="9"/>
      <c r="B391" s="26"/>
      <c r="C391" s="26"/>
      <c r="D391" s="26"/>
      <c r="E391" s="9">
        <v>0</v>
      </c>
      <c r="F391" s="9"/>
      <c r="G391" s="1">
        <f>((Fórmulas!C$7/Fórmulas!D$7)/Fórmulas!E$7)*E391</f>
        <v>0</v>
      </c>
      <c r="H391" s="1">
        <f>G391*Fórmulas!B$9</f>
        <v>0</v>
      </c>
      <c r="I391" s="7">
        <f>E391/Fórmulas!E$7</f>
        <v>0</v>
      </c>
      <c r="J391" s="17">
        <f>G391*Fórmulas!B$10</f>
        <v>0</v>
      </c>
      <c r="K391" s="1">
        <v>1</v>
      </c>
      <c r="L391" s="1">
        <f>((Fórmulas!C$6/Fórmulas!D$6)/0.7)*K391</f>
        <v>2.4489795918367347</v>
      </c>
      <c r="M391" s="1">
        <f>L391*Fórmulas!D$6</f>
        <v>857.14285714285711</v>
      </c>
    </row>
    <row r="392" spans="1:13" x14ac:dyDescent="0.25">
      <c r="A392" s="9"/>
      <c r="B392" s="26"/>
      <c r="C392" s="26"/>
      <c r="D392" s="26"/>
      <c r="E392" s="9">
        <v>0</v>
      </c>
      <c r="F392" s="9"/>
      <c r="G392" s="1">
        <f>((Fórmulas!C$7/Fórmulas!D$7)/Fórmulas!E$7)*E392</f>
        <v>0</v>
      </c>
      <c r="H392" s="1">
        <f>G392*Fórmulas!B$9</f>
        <v>0</v>
      </c>
      <c r="I392" s="7">
        <f>E392/Fórmulas!E$7</f>
        <v>0</v>
      </c>
      <c r="J392" s="17">
        <f>G392*Fórmulas!B$10</f>
        <v>0</v>
      </c>
      <c r="K392" s="1">
        <v>1</v>
      </c>
      <c r="L392" s="1">
        <f>((Fórmulas!C$6/Fórmulas!D$6)/0.7)*K392</f>
        <v>2.4489795918367347</v>
      </c>
      <c r="M392" s="1">
        <f>L392*Fórmulas!D$6</f>
        <v>857.14285714285711</v>
      </c>
    </row>
    <row r="393" spans="1:13" x14ac:dyDescent="0.25">
      <c r="A393" s="9" t="s">
        <v>668</v>
      </c>
      <c r="B393" s="26" t="s">
        <v>674</v>
      </c>
      <c r="C393" s="26"/>
      <c r="D393" s="26"/>
      <c r="E393" s="9">
        <v>4</v>
      </c>
      <c r="F393" s="9"/>
      <c r="G393" s="1">
        <f>((Fórmulas!C$7/Fórmulas!D$7)/Fórmulas!E$7)*E393</f>
        <v>11.428571428571429</v>
      </c>
      <c r="H393" s="1">
        <f>G393*Fórmulas!B$9</f>
        <v>4000</v>
      </c>
      <c r="I393" s="7">
        <f>E393/Fórmulas!E$7</f>
        <v>6.666666666666667</v>
      </c>
      <c r="J393" s="17">
        <f>G393*Fórmulas!B$10</f>
        <v>6857.1428571428569</v>
      </c>
      <c r="K393" s="1">
        <v>1</v>
      </c>
      <c r="L393" s="1">
        <f>((Fórmulas!C$6/Fórmulas!D$6)/0.7)*K393</f>
        <v>2.4489795918367347</v>
      </c>
      <c r="M393" s="1">
        <f>L393*Fórmulas!D$6</f>
        <v>857.14285714285711</v>
      </c>
    </row>
    <row r="394" spans="1:13" x14ac:dyDescent="0.25">
      <c r="A394" s="11" t="s">
        <v>668</v>
      </c>
      <c r="B394" s="26" t="s">
        <v>669</v>
      </c>
      <c r="C394" s="26"/>
      <c r="D394" s="26"/>
      <c r="E394" s="9">
        <v>2.9</v>
      </c>
      <c r="F394" s="9"/>
      <c r="G394" s="1">
        <f>((Fórmulas!C$7/Fórmulas!D$7)/Fórmulas!E$7)*E394</f>
        <v>8.2857142857142865</v>
      </c>
      <c r="H394" s="1">
        <f>G394*Fórmulas!B$9</f>
        <v>2900.0000000000005</v>
      </c>
      <c r="I394" s="7">
        <f>E394/Fórmulas!E$7</f>
        <v>4.833333333333333</v>
      </c>
      <c r="J394" s="17">
        <f>G394*Fórmulas!B$10</f>
        <v>4971.4285714285716</v>
      </c>
      <c r="K394" s="1">
        <v>1</v>
      </c>
      <c r="L394" s="1">
        <f>((Fórmulas!C$6/Fórmulas!D$6)/0.7)*K394</f>
        <v>2.4489795918367347</v>
      </c>
      <c r="M394" s="1">
        <f>L394*Fórmulas!D$6</f>
        <v>857.14285714285711</v>
      </c>
    </row>
    <row r="395" spans="1:13" x14ac:dyDescent="0.25">
      <c r="A395" s="11" t="s">
        <v>668</v>
      </c>
      <c r="B395" s="26" t="s">
        <v>670</v>
      </c>
      <c r="C395" s="26"/>
      <c r="D395" s="26"/>
      <c r="E395" s="9">
        <v>2.9</v>
      </c>
      <c r="F395" s="9"/>
      <c r="G395" s="1">
        <f>((Fórmulas!C$7/Fórmulas!D$7)/Fórmulas!E$7)*E395</f>
        <v>8.2857142857142865</v>
      </c>
      <c r="H395" s="1">
        <f>G395*Fórmulas!B$9</f>
        <v>2900.0000000000005</v>
      </c>
      <c r="I395" s="7">
        <f>E395/Fórmulas!E$7</f>
        <v>4.833333333333333</v>
      </c>
      <c r="J395" s="17">
        <f>G395*Fórmulas!B$10</f>
        <v>4971.4285714285716</v>
      </c>
      <c r="K395" s="1">
        <v>1</v>
      </c>
      <c r="L395" s="1">
        <f>((Fórmulas!C$6/Fórmulas!D$6)/0.7)*K395</f>
        <v>2.4489795918367347</v>
      </c>
      <c r="M395" s="1">
        <f>L395*Fórmulas!D$6</f>
        <v>857.14285714285711</v>
      </c>
    </row>
    <row r="396" spans="1:13" x14ac:dyDescent="0.25">
      <c r="A396" s="11" t="s">
        <v>668</v>
      </c>
      <c r="B396" s="25" t="s">
        <v>671</v>
      </c>
      <c r="C396" s="25"/>
      <c r="D396" s="25"/>
      <c r="E396" s="9">
        <v>2.4</v>
      </c>
      <c r="F396" s="9"/>
      <c r="G396" s="1">
        <f>((Fórmulas!C$7/Fórmulas!D$7)/Fórmulas!E$7)*E396</f>
        <v>6.8571428571428568</v>
      </c>
      <c r="H396" s="1">
        <f>G396*Fórmulas!B$9</f>
        <v>2400</v>
      </c>
      <c r="I396" s="7">
        <f>E396/Fórmulas!E$7</f>
        <v>4</v>
      </c>
      <c r="J396" s="17">
        <f>G396*Fórmulas!B$10</f>
        <v>4114.2857142857138</v>
      </c>
      <c r="K396" s="1">
        <v>1</v>
      </c>
      <c r="L396" s="1">
        <f>((Fórmulas!C$6/Fórmulas!D$6)/0.7)*K396</f>
        <v>2.4489795918367347</v>
      </c>
      <c r="M396" s="1">
        <f>L396*Fórmulas!D$6</f>
        <v>857.14285714285711</v>
      </c>
    </row>
    <row r="397" spans="1:13" x14ac:dyDescent="0.25">
      <c r="A397" s="11" t="s">
        <v>668</v>
      </c>
      <c r="B397" s="25" t="s">
        <v>672</v>
      </c>
      <c r="C397" s="25"/>
      <c r="D397" s="25"/>
      <c r="E397" s="9">
        <v>4</v>
      </c>
      <c r="F397" s="9"/>
      <c r="G397" s="1">
        <f>((Fórmulas!C$7/Fórmulas!D$7)/Fórmulas!E$7)*E397</f>
        <v>11.428571428571429</v>
      </c>
      <c r="H397" s="1">
        <f>G397*Fórmulas!B$9</f>
        <v>4000</v>
      </c>
      <c r="I397" s="7">
        <f>E397/Fórmulas!E$7</f>
        <v>6.666666666666667</v>
      </c>
      <c r="J397" s="17">
        <f>G397*Fórmulas!B$10</f>
        <v>6857.1428571428569</v>
      </c>
      <c r="K397" s="1">
        <v>1</v>
      </c>
      <c r="L397" s="1">
        <f>((Fórmulas!C$6/Fórmulas!D$6)/0.7)*K397</f>
        <v>2.4489795918367347</v>
      </c>
      <c r="M397" s="1">
        <f>L397*Fórmulas!D$6</f>
        <v>857.14285714285711</v>
      </c>
    </row>
    <row r="398" spans="1:13" x14ac:dyDescent="0.25">
      <c r="A398" s="11" t="s">
        <v>668</v>
      </c>
      <c r="B398" s="25" t="s">
        <v>673</v>
      </c>
      <c r="C398" s="25"/>
      <c r="D398" s="25"/>
      <c r="E398" s="9">
        <v>2.9</v>
      </c>
      <c r="F398" s="9"/>
      <c r="G398" s="1">
        <f>((Fórmulas!C$7/Fórmulas!D$7)/Fórmulas!E$7)*E398</f>
        <v>8.2857142857142865</v>
      </c>
      <c r="H398" s="1">
        <f>G398*Fórmulas!B$9</f>
        <v>2900.0000000000005</v>
      </c>
      <c r="I398" s="7">
        <f>E398/Fórmulas!E$7</f>
        <v>4.833333333333333</v>
      </c>
      <c r="J398" s="17">
        <f>G398*Fórmulas!B$10</f>
        <v>4971.4285714285716</v>
      </c>
      <c r="K398" s="1">
        <v>1</v>
      </c>
      <c r="L398" s="1">
        <f>((Fórmulas!C$6/Fórmulas!D$6)/0.7)*K398</f>
        <v>2.4489795918367347</v>
      </c>
      <c r="M398" s="1">
        <f>L398*Fórmulas!D$6</f>
        <v>857.14285714285711</v>
      </c>
    </row>
    <row r="399" spans="1:13" x14ac:dyDescent="0.25">
      <c r="A399" s="11" t="s">
        <v>668</v>
      </c>
      <c r="B399" s="25" t="s">
        <v>675</v>
      </c>
      <c r="C399" s="25"/>
      <c r="D399" s="25"/>
      <c r="E399" s="9">
        <v>4</v>
      </c>
      <c r="F399" s="9"/>
      <c r="G399" s="1">
        <f>((Fórmulas!C$7/Fórmulas!D$7)/Fórmulas!E$7)*E399</f>
        <v>11.428571428571429</v>
      </c>
      <c r="H399" s="1">
        <f>G399*Fórmulas!B$9</f>
        <v>4000</v>
      </c>
      <c r="I399" s="7">
        <f>E399/Fórmulas!E$7</f>
        <v>6.666666666666667</v>
      </c>
      <c r="J399" s="17">
        <f>G399*Fórmulas!B$10</f>
        <v>6857.1428571428569</v>
      </c>
      <c r="K399" s="1">
        <v>1</v>
      </c>
      <c r="L399" s="1">
        <f>((Fórmulas!C$6/Fórmulas!D$6)/0.7)*K399</f>
        <v>2.4489795918367347</v>
      </c>
      <c r="M399" s="1">
        <f>L399*Fórmulas!D$6</f>
        <v>857.14285714285711</v>
      </c>
    </row>
    <row r="400" spans="1:13" x14ac:dyDescent="0.25">
      <c r="A400" s="11" t="s">
        <v>668</v>
      </c>
      <c r="B400" s="25" t="s">
        <v>915</v>
      </c>
      <c r="C400" s="25"/>
      <c r="D400" s="25"/>
      <c r="E400" s="11">
        <v>0</v>
      </c>
      <c r="F400" s="11"/>
      <c r="G400" s="1">
        <f>((Fórmulas!C$7/Fórmulas!D$7)/Fórmulas!E$7)*E400</f>
        <v>0</v>
      </c>
      <c r="H400" s="1">
        <f>G400*Fórmulas!B$9</f>
        <v>0</v>
      </c>
      <c r="I400" s="7">
        <f>E400/Fórmulas!E$7</f>
        <v>0</v>
      </c>
      <c r="J400" s="17">
        <f>G400*Fórmulas!B$10</f>
        <v>0</v>
      </c>
      <c r="K400" s="1">
        <v>1</v>
      </c>
      <c r="L400" s="1">
        <f>((Fórmulas!C$6/Fórmulas!D$6)/0.7)*K400</f>
        <v>2.4489795918367347</v>
      </c>
      <c r="M400" s="1">
        <f>L400*Fórmulas!D$6</f>
        <v>857.14285714285711</v>
      </c>
    </row>
    <row r="401" spans="1:13" s="11" customFormat="1" x14ac:dyDescent="0.25">
      <c r="B401" s="26"/>
      <c r="C401" s="26"/>
      <c r="D401" s="26"/>
      <c r="E401" s="11">
        <v>0</v>
      </c>
      <c r="G401" s="1">
        <f>((Fórmulas!C$7/Fórmulas!D$7)/Fórmulas!E$7)*E401</f>
        <v>0</v>
      </c>
      <c r="H401" s="1">
        <f>G401*Fórmulas!B$9</f>
        <v>0</v>
      </c>
      <c r="I401" s="7">
        <f>E401/Fórmulas!E$7</f>
        <v>0</v>
      </c>
      <c r="J401" s="17">
        <f>G401*Fórmulas!B$10</f>
        <v>0</v>
      </c>
      <c r="K401" s="1">
        <v>1</v>
      </c>
      <c r="L401" s="1">
        <f>((Fórmulas!C$6/Fórmulas!D$6)/0.7)*K401</f>
        <v>2.4489795918367347</v>
      </c>
      <c r="M401" s="1">
        <f>L401*Fórmulas!D$6</f>
        <v>857.14285714285711</v>
      </c>
    </row>
    <row r="402" spans="1:13" s="11" customFormat="1" x14ac:dyDescent="0.25">
      <c r="A402" s="11" t="s">
        <v>676</v>
      </c>
      <c r="B402" s="25" t="s">
        <v>680</v>
      </c>
      <c r="C402" s="25"/>
      <c r="D402" s="25"/>
      <c r="E402" s="11">
        <v>2.4</v>
      </c>
      <c r="G402" s="1">
        <f>((Fórmulas!C$7/Fórmulas!D$7)/Fórmulas!E$7)*E402</f>
        <v>6.8571428571428568</v>
      </c>
      <c r="H402" s="1">
        <f>G402*Fórmulas!B$9</f>
        <v>2400</v>
      </c>
      <c r="I402" s="7">
        <f>E402/Fórmulas!E$7</f>
        <v>4</v>
      </c>
      <c r="J402" s="17">
        <f>G402*Fórmulas!B$10</f>
        <v>4114.2857142857138</v>
      </c>
      <c r="K402" s="1">
        <v>1</v>
      </c>
      <c r="L402" s="1">
        <f>((Fórmulas!C$6/Fórmulas!D$6)/0.7)*K402</f>
        <v>2.4489795918367347</v>
      </c>
      <c r="M402" s="1">
        <f>L402*Fórmulas!D$6</f>
        <v>857.14285714285711</v>
      </c>
    </row>
    <row r="403" spans="1:13" s="11" customFormat="1" x14ac:dyDescent="0.25">
      <c r="B403" s="25" t="s">
        <v>677</v>
      </c>
      <c r="C403" s="25"/>
      <c r="D403" s="25"/>
      <c r="E403" s="11">
        <v>2.4</v>
      </c>
      <c r="G403" s="1">
        <f>((Fórmulas!C$7/Fórmulas!D$7)/Fórmulas!E$7)*E403</f>
        <v>6.8571428571428568</v>
      </c>
      <c r="H403" s="1">
        <f>G403*Fórmulas!B$9</f>
        <v>2400</v>
      </c>
      <c r="I403" s="7">
        <f>E403/Fórmulas!E$7</f>
        <v>4</v>
      </c>
      <c r="J403" s="17">
        <f>G403*Fórmulas!B$10</f>
        <v>4114.2857142857138</v>
      </c>
      <c r="K403" s="1">
        <v>1</v>
      </c>
      <c r="L403" s="1">
        <f>((Fórmulas!C$6/Fórmulas!D$6)/0.7)*K403</f>
        <v>2.4489795918367347</v>
      </c>
      <c r="M403" s="1">
        <f>L403*Fórmulas!D$6</f>
        <v>857.14285714285711</v>
      </c>
    </row>
    <row r="404" spans="1:13" s="11" customFormat="1" x14ac:dyDescent="0.25">
      <c r="B404" s="25" t="s">
        <v>679</v>
      </c>
      <c r="C404" s="25"/>
      <c r="D404" s="25"/>
      <c r="E404" s="11">
        <v>2.4</v>
      </c>
      <c r="G404" s="1">
        <f>((Fórmulas!C$7/Fórmulas!D$7)/Fórmulas!E$7)*E404</f>
        <v>6.8571428571428568</v>
      </c>
      <c r="H404" s="1">
        <f>G404*Fórmulas!B$9</f>
        <v>2400</v>
      </c>
      <c r="I404" s="7">
        <f>E404/Fórmulas!E$7</f>
        <v>4</v>
      </c>
      <c r="J404" s="17">
        <f>G404*Fórmulas!B$10</f>
        <v>4114.2857142857138</v>
      </c>
      <c r="K404" s="1">
        <v>1</v>
      </c>
      <c r="L404" s="1">
        <f>((Fórmulas!C$6/Fórmulas!D$6)/0.7)*K404</f>
        <v>2.4489795918367347</v>
      </c>
      <c r="M404" s="1">
        <f>L404*Fórmulas!D$6</f>
        <v>857.14285714285711</v>
      </c>
    </row>
    <row r="405" spans="1:13" s="11" customFormat="1" x14ac:dyDescent="0.25">
      <c r="B405" s="25" t="s">
        <v>678</v>
      </c>
      <c r="C405" s="25"/>
      <c r="D405" s="25"/>
      <c r="E405" s="11">
        <v>2.4</v>
      </c>
      <c r="G405" s="1">
        <f>((Fórmulas!C$7/Fórmulas!D$7)/Fórmulas!E$7)*E405</f>
        <v>6.8571428571428568</v>
      </c>
      <c r="H405" s="1">
        <f>G405*Fórmulas!B$9</f>
        <v>2400</v>
      </c>
      <c r="I405" s="7">
        <f>E405/Fórmulas!E$7</f>
        <v>4</v>
      </c>
      <c r="J405" s="17">
        <f>G405*Fórmulas!B$10</f>
        <v>4114.2857142857138</v>
      </c>
      <c r="K405" s="1">
        <v>1</v>
      </c>
      <c r="L405" s="1">
        <f>((Fórmulas!C$6/Fórmulas!D$6)/0.7)*K405</f>
        <v>2.4489795918367347</v>
      </c>
      <c r="M405" s="1">
        <f>L405*Fórmulas!D$6</f>
        <v>857.14285714285711</v>
      </c>
    </row>
    <row r="406" spans="1:13" s="11" customFormat="1" x14ac:dyDescent="0.25">
      <c r="B406" s="26"/>
      <c r="C406" s="26"/>
      <c r="D406" s="26"/>
      <c r="E406" s="11">
        <v>0</v>
      </c>
      <c r="G406" s="1">
        <f>((Fórmulas!C$7/Fórmulas!D$7)/Fórmulas!E$7)*E406</f>
        <v>0</v>
      </c>
      <c r="H406" s="1">
        <f>G406*Fórmulas!B$9</f>
        <v>0</v>
      </c>
      <c r="I406" s="7">
        <f>E406/Fórmulas!E$7</f>
        <v>0</v>
      </c>
      <c r="J406" s="17">
        <f>G406*Fórmulas!B$10</f>
        <v>0</v>
      </c>
      <c r="K406" s="1">
        <v>1</v>
      </c>
      <c r="L406" s="1">
        <f>((Fórmulas!C$6/Fórmulas!D$6)/0.7)*K406</f>
        <v>2.4489795918367347</v>
      </c>
      <c r="M406" s="1">
        <f>L406*Fórmulas!D$6</f>
        <v>857.14285714285711</v>
      </c>
    </row>
    <row r="407" spans="1:13" x14ac:dyDescent="0.25">
      <c r="A407" s="11"/>
      <c r="B407" s="26"/>
      <c r="C407" s="26"/>
      <c r="D407" s="26"/>
      <c r="E407" s="11">
        <v>0</v>
      </c>
      <c r="F407" s="11"/>
      <c r="G407" s="1">
        <f>((Fórmulas!C$7/Fórmulas!D$7)/Fórmulas!E$7)*E407</f>
        <v>0</v>
      </c>
      <c r="H407" s="1">
        <f>G407*Fórmulas!B$9</f>
        <v>0</v>
      </c>
      <c r="I407" s="7">
        <f>E407/Fórmulas!E$7</f>
        <v>0</v>
      </c>
      <c r="J407" s="17">
        <f>G407*Fórmulas!B$10</f>
        <v>0</v>
      </c>
      <c r="K407" s="1">
        <v>1</v>
      </c>
      <c r="L407" s="1">
        <f>((Fórmulas!C$6/Fórmulas!D$6)/0.7)*K407</f>
        <v>2.4489795918367347</v>
      </c>
      <c r="M407" s="1">
        <f>L407*Fórmulas!D$6</f>
        <v>857.14285714285711</v>
      </c>
    </row>
    <row r="408" spans="1:13" x14ac:dyDescent="0.25">
      <c r="A408" s="11"/>
      <c r="B408" s="26"/>
      <c r="C408" s="26"/>
      <c r="D408" s="26"/>
      <c r="E408" s="11">
        <v>0</v>
      </c>
      <c r="F408" s="11"/>
      <c r="G408" s="1">
        <f>((Fórmulas!C$7/Fórmulas!D$7)/Fórmulas!E$7)*E408</f>
        <v>0</v>
      </c>
      <c r="H408" s="1">
        <f>G408*Fórmulas!B$9</f>
        <v>0</v>
      </c>
      <c r="I408" s="7">
        <f>E408/Fórmulas!E$7</f>
        <v>0</v>
      </c>
      <c r="J408" s="17">
        <f>G408*Fórmulas!B$10</f>
        <v>0</v>
      </c>
      <c r="K408" s="1">
        <v>1</v>
      </c>
      <c r="L408" s="1">
        <f>((Fórmulas!C$6/Fórmulas!D$6)/0.7)*K408</f>
        <v>2.4489795918367347</v>
      </c>
      <c r="M408" s="1">
        <f>L408*Fórmulas!D$6</f>
        <v>857.14285714285711</v>
      </c>
    </row>
    <row r="409" spans="1:13" s="22" customFormat="1" x14ac:dyDescent="0.25">
      <c r="A409" s="22" t="s">
        <v>793</v>
      </c>
      <c r="B409" s="26" t="s">
        <v>794</v>
      </c>
      <c r="C409" s="26"/>
      <c r="D409" s="26"/>
      <c r="E409" s="22">
        <v>1.8</v>
      </c>
      <c r="G409" s="1">
        <f>((Fórmulas!C$7/Fórmulas!D$7)/Fórmulas!E$7)*E409</f>
        <v>5.1428571428571432</v>
      </c>
      <c r="H409" s="1">
        <f>G409*Fórmulas!B$9</f>
        <v>1800.0000000000002</v>
      </c>
      <c r="I409" s="7">
        <f>E409/Fórmulas!E$7</f>
        <v>3</v>
      </c>
      <c r="J409" s="17">
        <f>G409*Fórmulas!B$10</f>
        <v>3085.7142857142858</v>
      </c>
      <c r="K409" s="1">
        <v>1</v>
      </c>
      <c r="L409" s="1">
        <f>((Fórmulas!C$6/Fórmulas!D$6)/0.7)*K409</f>
        <v>2.4489795918367347</v>
      </c>
      <c r="M409" s="1">
        <f>L409*Fórmulas!D$6</f>
        <v>857.14285714285711</v>
      </c>
    </row>
    <row r="410" spans="1:13" s="22" customFormat="1" x14ac:dyDescent="0.25">
      <c r="B410" s="26"/>
      <c r="C410" s="26"/>
      <c r="D410" s="26"/>
      <c r="E410" s="22">
        <v>0</v>
      </c>
      <c r="G410" s="1">
        <f>((Fórmulas!C$7/Fórmulas!D$7)/Fórmulas!E$7)*E410</f>
        <v>0</v>
      </c>
      <c r="H410" s="1">
        <f>G410*Fórmulas!B$9</f>
        <v>0</v>
      </c>
      <c r="I410" s="7">
        <f>E410/Fórmulas!E$7</f>
        <v>0</v>
      </c>
      <c r="J410" s="17">
        <f>G410*Fórmulas!B$10</f>
        <v>0</v>
      </c>
      <c r="K410" s="1">
        <v>1</v>
      </c>
      <c r="L410" s="1">
        <f>((Fórmulas!C$6/Fórmulas!D$6)/0.7)*K410</f>
        <v>2.4489795918367347</v>
      </c>
      <c r="M410" s="1">
        <f>L410*Fórmulas!D$6</f>
        <v>857.14285714285711</v>
      </c>
    </row>
    <row r="411" spans="1:13" s="22" customFormat="1" x14ac:dyDescent="0.25">
      <c r="B411" s="26"/>
      <c r="C411" s="26"/>
      <c r="D411" s="26"/>
      <c r="E411" s="22">
        <v>0</v>
      </c>
      <c r="G411" s="1">
        <f>((Fórmulas!C$7/Fórmulas!D$7)/Fórmulas!E$7)*E411</f>
        <v>0</v>
      </c>
      <c r="H411" s="1">
        <f>G411*Fórmulas!B$9</f>
        <v>0</v>
      </c>
      <c r="I411" s="7">
        <f>E411/Fórmulas!E$7</f>
        <v>0</v>
      </c>
      <c r="J411" s="17">
        <f>G411*Fórmulas!B$10</f>
        <v>0</v>
      </c>
      <c r="K411" s="1">
        <v>1</v>
      </c>
      <c r="L411" s="1">
        <f>((Fórmulas!C$6/Fórmulas!D$6)/0.7)*K411</f>
        <v>2.4489795918367347</v>
      </c>
      <c r="M411" s="1">
        <f>L411*Fórmulas!D$6</f>
        <v>857.14285714285711</v>
      </c>
    </row>
    <row r="412" spans="1:13" s="22" customFormat="1" x14ac:dyDescent="0.25">
      <c r="B412" s="26"/>
      <c r="C412" s="26"/>
      <c r="D412" s="26"/>
      <c r="E412" s="22">
        <v>0</v>
      </c>
      <c r="G412" s="1">
        <f>((Fórmulas!C$7/Fórmulas!D$7)/Fórmulas!E$7)*E412</f>
        <v>0</v>
      </c>
      <c r="H412" s="1">
        <f>G412*Fórmulas!B$9</f>
        <v>0</v>
      </c>
      <c r="I412" s="7">
        <f>E412/Fórmulas!E$7</f>
        <v>0</v>
      </c>
      <c r="J412" s="17">
        <f>G412*Fórmulas!B$10</f>
        <v>0</v>
      </c>
      <c r="K412" s="1">
        <v>1</v>
      </c>
      <c r="L412" s="1">
        <f>((Fórmulas!C$6/Fórmulas!D$6)/0.7)*K412</f>
        <v>2.4489795918367347</v>
      </c>
      <c r="M412" s="1">
        <f>L412*Fórmulas!D$6</f>
        <v>857.14285714285711</v>
      </c>
    </row>
    <row r="413" spans="1:13" x14ac:dyDescent="0.25">
      <c r="A413" s="22"/>
      <c r="B413" s="26"/>
      <c r="C413" s="26"/>
      <c r="D413" s="26"/>
      <c r="E413" s="22">
        <v>0</v>
      </c>
      <c r="F413" s="22"/>
      <c r="G413" s="1">
        <f>((Fórmulas!C$7/Fórmulas!D$7)/Fórmulas!E$7)*E413</f>
        <v>0</v>
      </c>
      <c r="H413" s="1">
        <f>G413*Fórmulas!B$9</f>
        <v>0</v>
      </c>
      <c r="I413" s="7">
        <f>E413/Fórmulas!E$7</f>
        <v>0</v>
      </c>
      <c r="J413" s="17">
        <f>G413*Fórmulas!B$10</f>
        <v>0</v>
      </c>
      <c r="K413" s="1">
        <v>1</v>
      </c>
      <c r="L413" s="1">
        <f>((Fórmulas!C$6/Fórmulas!D$6)/0.7)*K413</f>
        <v>2.4489795918367347</v>
      </c>
      <c r="M413" s="1">
        <f>L413*Fórmulas!D$6</f>
        <v>857.14285714285711</v>
      </c>
    </row>
    <row r="414" spans="1:13" s="22" customFormat="1" x14ac:dyDescent="0.25">
      <c r="B414" s="26"/>
      <c r="C414" s="26"/>
      <c r="D414" s="26"/>
      <c r="E414" s="22">
        <v>0</v>
      </c>
      <c r="G414" s="1">
        <f>((Fórmulas!C$7/Fórmulas!D$7)/Fórmulas!E$7)*E414</f>
        <v>0</v>
      </c>
      <c r="H414" s="1">
        <f>G414*Fórmulas!B$9</f>
        <v>0</v>
      </c>
      <c r="I414" s="7">
        <f>E414/Fórmulas!E$7</f>
        <v>0</v>
      </c>
      <c r="J414" s="17">
        <f>G414*Fórmulas!B$10</f>
        <v>0</v>
      </c>
      <c r="K414" s="1">
        <v>1</v>
      </c>
      <c r="L414" s="1">
        <f>((Fórmulas!C$6/Fórmulas!D$6)/0.7)*K414</f>
        <v>2.4489795918367347</v>
      </c>
      <c r="M414" s="1">
        <f>L414*Fórmulas!D$6</f>
        <v>857.14285714285711</v>
      </c>
    </row>
    <row r="415" spans="1:13" s="22" customFormat="1" x14ac:dyDescent="0.25">
      <c r="B415" s="26"/>
      <c r="C415" s="26"/>
      <c r="D415" s="26"/>
      <c r="E415" s="22">
        <v>0</v>
      </c>
      <c r="G415" s="1">
        <f>((Fórmulas!C$7/Fórmulas!D$7)/Fórmulas!E$7)*E415</f>
        <v>0</v>
      </c>
      <c r="H415" s="1">
        <f>G415*Fórmulas!B$9</f>
        <v>0</v>
      </c>
      <c r="I415" s="7">
        <f>E415/Fórmulas!E$7</f>
        <v>0</v>
      </c>
      <c r="J415" s="17">
        <f>G415*Fórmulas!B$10</f>
        <v>0</v>
      </c>
      <c r="K415" s="1">
        <v>1</v>
      </c>
      <c r="L415" s="1">
        <f>((Fórmulas!C$6/Fórmulas!D$6)/0.7)*K415</f>
        <v>2.4489795918367347</v>
      </c>
      <c r="M415" s="1">
        <f>L415*Fórmulas!D$6</f>
        <v>857.14285714285711</v>
      </c>
    </row>
    <row r="416" spans="1:13" s="22" customFormat="1" x14ac:dyDescent="0.25">
      <c r="A416" s="22" t="s">
        <v>880</v>
      </c>
      <c r="B416" s="26" t="s">
        <v>877</v>
      </c>
      <c r="C416" s="26"/>
      <c r="D416" s="26"/>
      <c r="E416" s="22">
        <v>0.35</v>
      </c>
      <c r="G416" s="1">
        <f>((Fórmulas!C$7/Fórmulas!D$7)/Fórmulas!E$7)*E416</f>
        <v>1</v>
      </c>
      <c r="H416" s="1">
        <f>G416*Fórmulas!B$9</f>
        <v>350</v>
      </c>
      <c r="I416" s="7">
        <f>E416/Fórmulas!E$7</f>
        <v>0.58333333333333337</v>
      </c>
      <c r="J416" s="17">
        <f>G416*Fórmulas!B$10</f>
        <v>600</v>
      </c>
      <c r="K416" s="1">
        <v>1</v>
      </c>
      <c r="L416" s="1">
        <f>((Fórmulas!C$6/Fórmulas!D$6)/0.7)*K416</f>
        <v>2.4489795918367347</v>
      </c>
      <c r="M416" s="1">
        <f>L416*Fórmulas!D$6</f>
        <v>857.14285714285711</v>
      </c>
    </row>
    <row r="417" spans="1:13" s="22" customFormat="1" x14ac:dyDescent="0.25">
      <c r="B417" s="26" t="s">
        <v>878</v>
      </c>
      <c r="C417" s="26"/>
      <c r="D417" s="26"/>
      <c r="E417" s="22">
        <v>0.35</v>
      </c>
      <c r="G417" s="1">
        <f>((Fórmulas!C$7/Fórmulas!D$7)/Fórmulas!E$7)*E417</f>
        <v>1</v>
      </c>
      <c r="H417" s="1">
        <f>G417*Fórmulas!B$9</f>
        <v>350</v>
      </c>
      <c r="I417" s="7">
        <f>E417/Fórmulas!E$7</f>
        <v>0.58333333333333337</v>
      </c>
      <c r="J417" s="17">
        <f>G417*Fórmulas!B$10</f>
        <v>600</v>
      </c>
      <c r="K417" s="1">
        <v>1</v>
      </c>
      <c r="L417" s="1">
        <f>((Fórmulas!C$6/Fórmulas!D$6)/0.7)*K417</f>
        <v>2.4489795918367347</v>
      </c>
      <c r="M417" s="1">
        <f>L417*Fórmulas!D$6</f>
        <v>857.14285714285711</v>
      </c>
    </row>
    <row r="418" spans="1:13" s="22" customFormat="1" x14ac:dyDescent="0.25">
      <c r="B418" s="26" t="s">
        <v>879</v>
      </c>
      <c r="C418" s="26"/>
      <c r="D418" s="26"/>
      <c r="E418" s="22">
        <v>0.35</v>
      </c>
      <c r="G418" s="1">
        <f>((Fórmulas!C$7/Fórmulas!D$7)/Fórmulas!E$7)*E418</f>
        <v>1</v>
      </c>
      <c r="H418" s="1">
        <f>G418*Fórmulas!B$9</f>
        <v>350</v>
      </c>
      <c r="I418" s="7">
        <f>E418/Fórmulas!E$7</f>
        <v>0.58333333333333337</v>
      </c>
      <c r="J418" s="17">
        <f>G418*Fórmulas!B$10</f>
        <v>600</v>
      </c>
      <c r="K418" s="1">
        <v>1</v>
      </c>
      <c r="L418" s="1">
        <f>((Fórmulas!C$6/Fórmulas!D$6)/0.7)*K418</f>
        <v>2.4489795918367347</v>
      </c>
      <c r="M418" s="1">
        <f>L418*Fórmulas!D$6</f>
        <v>857.14285714285711</v>
      </c>
    </row>
    <row r="419" spans="1:13" s="22" customFormat="1" x14ac:dyDescent="0.25">
      <c r="B419" s="25" t="s">
        <v>881</v>
      </c>
      <c r="C419" s="25"/>
      <c r="D419" s="25"/>
      <c r="E419" s="22">
        <v>0.35</v>
      </c>
      <c r="G419" s="1">
        <f>((Fórmulas!C$7/Fórmulas!D$7)/Fórmulas!E$7)*E419</f>
        <v>1</v>
      </c>
      <c r="H419" s="1">
        <f>G419*Fórmulas!B$9</f>
        <v>350</v>
      </c>
      <c r="I419" s="7">
        <f>E419/Fórmulas!E$7</f>
        <v>0.58333333333333337</v>
      </c>
      <c r="J419" s="17">
        <f>G419*Fórmulas!B$10</f>
        <v>600</v>
      </c>
      <c r="K419" s="1">
        <v>1</v>
      </c>
      <c r="L419" s="1">
        <f>((Fórmulas!C$6/Fórmulas!D$6)/0.7)*K419</f>
        <v>2.4489795918367347</v>
      </c>
      <c r="M419" s="1">
        <f>L419*Fórmulas!D$6</f>
        <v>857.14285714285711</v>
      </c>
    </row>
    <row r="420" spans="1:13" s="22" customFormat="1" x14ac:dyDescent="0.25">
      <c r="B420" s="25" t="s">
        <v>908</v>
      </c>
      <c r="C420" s="25"/>
      <c r="D420" s="25"/>
      <c r="E420" s="22">
        <v>3</v>
      </c>
      <c r="G420" s="1">
        <f>((Fórmulas!C$7/Fórmulas!D$7)/Fórmulas!E$7)*E420</f>
        <v>8.5714285714285712</v>
      </c>
      <c r="H420" s="1">
        <f>G420*Fórmulas!B$9</f>
        <v>3000</v>
      </c>
      <c r="I420" s="7">
        <f>E420/Fórmulas!E$7</f>
        <v>5</v>
      </c>
      <c r="J420" s="17">
        <f>G420*Fórmulas!B$10</f>
        <v>5142.8571428571431</v>
      </c>
      <c r="K420" s="1">
        <v>1</v>
      </c>
      <c r="L420" s="1">
        <f>((Fórmulas!C$6/Fórmulas!D$6)/0.7)*K420</f>
        <v>2.4489795918367347</v>
      </c>
      <c r="M420" s="1">
        <f>L420*Fórmulas!D$6</f>
        <v>857.14285714285711</v>
      </c>
    </row>
    <row r="421" spans="1:13" s="22" customFormat="1" x14ac:dyDescent="0.25">
      <c r="B421" s="25" t="s">
        <v>907</v>
      </c>
      <c r="C421" s="25"/>
      <c r="D421" s="25"/>
      <c r="E421" s="22">
        <v>3</v>
      </c>
      <c r="G421" s="1">
        <f>((Fórmulas!C$7/Fórmulas!D$7)/Fórmulas!E$7)*E421</f>
        <v>8.5714285714285712</v>
      </c>
      <c r="H421" s="1">
        <f>G421*Fórmulas!B$9</f>
        <v>3000</v>
      </c>
      <c r="I421" s="7">
        <f>E421/Fórmulas!E$7</f>
        <v>5</v>
      </c>
      <c r="J421" s="17">
        <f>G421*Fórmulas!B$10</f>
        <v>5142.8571428571431</v>
      </c>
      <c r="K421" s="1">
        <v>1</v>
      </c>
      <c r="L421" s="1">
        <f>((Fórmulas!C$6/Fórmulas!D$6)/0.7)*K421</f>
        <v>2.4489795918367347</v>
      </c>
      <c r="M421" s="1">
        <f>L421*Fórmulas!D$6</f>
        <v>857.14285714285711</v>
      </c>
    </row>
    <row r="422" spans="1:13" s="22" customFormat="1" x14ac:dyDescent="0.25">
      <c r="B422" s="26"/>
      <c r="C422" s="26"/>
      <c r="D422" s="26"/>
      <c r="E422" s="22">
        <v>0</v>
      </c>
      <c r="G422" s="1">
        <f>((Fórmulas!C$7/Fórmulas!D$7)/Fórmulas!E$7)*E422</f>
        <v>0</v>
      </c>
      <c r="H422" s="1">
        <f>G422*Fórmulas!B$9</f>
        <v>0</v>
      </c>
      <c r="I422" s="7">
        <f>E422/Fórmulas!E$7</f>
        <v>0</v>
      </c>
      <c r="J422" s="17">
        <f>G422*Fórmulas!B$10</f>
        <v>0</v>
      </c>
      <c r="K422" s="1">
        <v>1</v>
      </c>
      <c r="L422" s="1">
        <f>((Fórmulas!C$6/Fórmulas!D$6)/0.7)*K422</f>
        <v>2.4489795918367347</v>
      </c>
      <c r="M422" s="1">
        <f>L422*Fórmulas!D$6</f>
        <v>857.14285714285711</v>
      </c>
    </row>
    <row r="423" spans="1:13" s="22" customFormat="1" x14ac:dyDescent="0.25">
      <c r="B423" s="26"/>
      <c r="C423" s="26"/>
      <c r="D423" s="26"/>
      <c r="E423" s="22">
        <v>0</v>
      </c>
      <c r="G423" s="1">
        <f>((Fórmulas!C$7/Fórmulas!D$7)/Fórmulas!E$7)*E423</f>
        <v>0</v>
      </c>
      <c r="H423" s="1">
        <f>G423*Fórmulas!B$9</f>
        <v>0</v>
      </c>
      <c r="I423" s="7">
        <f>E423/Fórmulas!E$7</f>
        <v>0</v>
      </c>
      <c r="J423" s="17">
        <f>G423*Fórmulas!B$10</f>
        <v>0</v>
      </c>
      <c r="K423" s="1">
        <v>1</v>
      </c>
      <c r="L423" s="1">
        <f>((Fórmulas!C$6/Fórmulas!D$6)/0.7)*K423</f>
        <v>2.4489795918367347</v>
      </c>
      <c r="M423" s="1">
        <f>L423*Fórmulas!D$6</f>
        <v>857.14285714285711</v>
      </c>
    </row>
    <row r="424" spans="1:13" s="22" customFormat="1" x14ac:dyDescent="0.25">
      <c r="B424" s="26"/>
      <c r="C424" s="26"/>
      <c r="D424" s="26"/>
      <c r="E424" s="22">
        <v>0</v>
      </c>
      <c r="G424" s="1">
        <f>((Fórmulas!C$7/Fórmulas!D$7)/Fórmulas!E$7)*E424</f>
        <v>0</v>
      </c>
      <c r="H424" s="1">
        <f>G424*Fórmulas!B$9</f>
        <v>0</v>
      </c>
      <c r="I424" s="7">
        <f>E424/Fórmulas!E$7</f>
        <v>0</v>
      </c>
      <c r="J424" s="17">
        <f>G424*Fórmulas!B$10</f>
        <v>0</v>
      </c>
      <c r="K424" s="1">
        <v>1</v>
      </c>
      <c r="L424" s="1">
        <f>((Fórmulas!C$6/Fórmulas!D$6)/0.7)*K424</f>
        <v>2.4489795918367347</v>
      </c>
      <c r="M424" s="1">
        <f>L424*Fórmulas!D$6</f>
        <v>857.14285714285711</v>
      </c>
    </row>
    <row r="425" spans="1:13" s="22" customFormat="1" x14ac:dyDescent="0.25">
      <c r="B425" s="26"/>
      <c r="C425" s="26"/>
      <c r="D425" s="26"/>
      <c r="E425" s="22">
        <v>0</v>
      </c>
      <c r="G425" s="1">
        <f>((Fórmulas!C$7/Fórmulas!D$7)/Fórmulas!E$7)*E425</f>
        <v>0</v>
      </c>
      <c r="H425" s="1">
        <f>G425*Fórmulas!B$9</f>
        <v>0</v>
      </c>
      <c r="I425" s="7">
        <f>E425/Fórmulas!E$7</f>
        <v>0</v>
      </c>
      <c r="J425" s="17">
        <f>G425*Fórmulas!B$10</f>
        <v>0</v>
      </c>
      <c r="K425" s="1">
        <v>1</v>
      </c>
      <c r="L425" s="1">
        <f>((Fórmulas!C$6/Fórmulas!D$6)/0.7)*K425</f>
        <v>2.4489795918367347</v>
      </c>
      <c r="M425" s="1">
        <f>L425*Fórmulas!D$6</f>
        <v>857.14285714285711</v>
      </c>
    </row>
    <row r="426" spans="1:13" s="22" customFormat="1" x14ac:dyDescent="0.25">
      <c r="B426" s="26"/>
      <c r="C426" s="26"/>
      <c r="D426" s="26"/>
      <c r="E426" s="22">
        <v>0</v>
      </c>
      <c r="G426" s="1">
        <f>((Fórmulas!C$7/Fórmulas!D$7)/Fórmulas!E$7)*E426</f>
        <v>0</v>
      </c>
      <c r="H426" s="1">
        <f>G426*Fórmulas!B$9</f>
        <v>0</v>
      </c>
      <c r="I426" s="7">
        <f>E426/Fórmulas!E$7</f>
        <v>0</v>
      </c>
      <c r="J426" s="17">
        <f>G426*Fórmulas!B$10</f>
        <v>0</v>
      </c>
      <c r="K426" s="1">
        <v>1</v>
      </c>
      <c r="L426" s="1">
        <f>((Fórmulas!C$6/Fórmulas!D$6)/0.7)*K426</f>
        <v>2.4489795918367347</v>
      </c>
      <c r="M426" s="1">
        <f>L426*Fórmulas!D$6</f>
        <v>857.14285714285711</v>
      </c>
    </row>
    <row r="427" spans="1:13" s="22" customFormat="1" x14ac:dyDescent="0.25">
      <c r="B427" s="26"/>
      <c r="C427" s="26"/>
      <c r="D427" s="26"/>
      <c r="E427" s="22">
        <v>0</v>
      </c>
      <c r="G427" s="1">
        <f>((Fórmulas!C$7/Fórmulas!D$7)/Fórmulas!E$7)*E427</f>
        <v>0</v>
      </c>
      <c r="H427" s="1">
        <f>G427*Fórmulas!B$9</f>
        <v>0</v>
      </c>
      <c r="I427" s="7">
        <f>E427/Fórmulas!E$7</f>
        <v>0</v>
      </c>
      <c r="J427" s="17">
        <f>G427*Fórmulas!B$10</f>
        <v>0</v>
      </c>
      <c r="K427" s="1">
        <v>1</v>
      </c>
      <c r="L427" s="1">
        <f>((Fórmulas!C$6/Fórmulas!D$6)/0.7)*K427</f>
        <v>2.4489795918367347</v>
      </c>
      <c r="M427" s="1">
        <f>L427*Fórmulas!D$6</f>
        <v>857.14285714285711</v>
      </c>
    </row>
    <row r="428" spans="1:13" s="22" customFormat="1" x14ac:dyDescent="0.25">
      <c r="A428" s="24" t="s">
        <v>795</v>
      </c>
      <c r="B428" s="26" t="s">
        <v>796</v>
      </c>
      <c r="C428" s="26"/>
      <c r="D428" s="26"/>
      <c r="E428" s="24">
        <v>4.5</v>
      </c>
      <c r="G428" s="1">
        <f>((Fórmulas!C$7/Fórmulas!D$7)/Fórmulas!E$7)*E428</f>
        <v>12.857142857142858</v>
      </c>
      <c r="H428" s="1">
        <f>G428*Fórmulas!B$9</f>
        <v>4500</v>
      </c>
      <c r="I428" s="7">
        <f>E428/Fórmulas!E$7</f>
        <v>7.5</v>
      </c>
      <c r="J428" s="17">
        <f>G428*Fórmulas!B$10</f>
        <v>7714.2857142857147</v>
      </c>
      <c r="K428" s="1">
        <v>1</v>
      </c>
      <c r="L428" s="1">
        <f>((Fórmulas!C$6/Fórmulas!D$6)/0.7)*K428</f>
        <v>2.4489795918367347</v>
      </c>
      <c r="M428" s="1">
        <f>L428*Fórmulas!D$6</f>
        <v>857.14285714285711</v>
      </c>
    </row>
    <row r="429" spans="1:13" s="22" customFormat="1" x14ac:dyDescent="0.25">
      <c r="B429" s="26"/>
      <c r="C429" s="26"/>
      <c r="D429" s="26"/>
      <c r="E429" s="22">
        <v>0</v>
      </c>
      <c r="G429" s="1">
        <f>((Fórmulas!C$7/Fórmulas!D$7)/Fórmulas!E$7)*E429</f>
        <v>0</v>
      </c>
      <c r="H429" s="1">
        <f>G429*Fórmulas!B$9</f>
        <v>0</v>
      </c>
      <c r="I429" s="7">
        <f>E429/Fórmulas!E$7</f>
        <v>0</v>
      </c>
      <c r="J429" s="17">
        <f>G429*Fórmulas!B$10</f>
        <v>0</v>
      </c>
      <c r="K429" s="1">
        <v>1</v>
      </c>
      <c r="L429" s="1">
        <f>((Fórmulas!C$6/Fórmulas!D$6)/0.7)*K429</f>
        <v>2.4489795918367347</v>
      </c>
      <c r="M429" s="1">
        <f>L429*Fórmulas!D$6</f>
        <v>857.14285714285711</v>
      </c>
    </row>
    <row r="430" spans="1:13" x14ac:dyDescent="0.25">
      <c r="A430" s="22"/>
      <c r="B430" s="26"/>
      <c r="C430" s="26"/>
      <c r="D430" s="26"/>
      <c r="E430" s="22">
        <v>0</v>
      </c>
      <c r="F430" s="22"/>
      <c r="G430" s="1">
        <f>((Fórmulas!C$7/Fórmulas!D$7)/Fórmulas!E$7)*E430</f>
        <v>0</v>
      </c>
      <c r="H430" s="1">
        <f>G430*Fórmulas!B$9</f>
        <v>0</v>
      </c>
      <c r="I430" s="7">
        <f>E430/Fórmulas!E$7</f>
        <v>0</v>
      </c>
      <c r="J430" s="17">
        <f>G430*Fórmulas!B$10</f>
        <v>0</v>
      </c>
      <c r="K430" s="1">
        <v>1</v>
      </c>
      <c r="L430" s="1">
        <f>((Fórmulas!C$6/Fórmulas!D$6)/0.7)*K430</f>
        <v>2.4489795918367347</v>
      </c>
      <c r="M430" s="1">
        <f>L430*Fórmulas!D$6</f>
        <v>857.14285714285711</v>
      </c>
    </row>
    <row r="431" spans="1:13" s="22" customFormat="1" x14ac:dyDescent="0.25">
      <c r="B431" s="26"/>
      <c r="C431" s="26"/>
      <c r="D431" s="26"/>
      <c r="E431" s="22">
        <v>0</v>
      </c>
      <c r="G431" s="1">
        <f>((Fórmulas!C$7/Fórmulas!D$7)/Fórmulas!E$7)*E431</f>
        <v>0</v>
      </c>
      <c r="H431" s="1">
        <f>G431*Fórmulas!B$9</f>
        <v>0</v>
      </c>
      <c r="I431" s="7">
        <f>E431/Fórmulas!E$7</f>
        <v>0</v>
      </c>
      <c r="J431" s="17">
        <f>G431*Fórmulas!B$10</f>
        <v>0</v>
      </c>
      <c r="K431" s="1">
        <v>1</v>
      </c>
      <c r="L431" s="1">
        <f>((Fórmulas!C$6/Fórmulas!D$6)/0.7)*K431</f>
        <v>2.4489795918367347</v>
      </c>
      <c r="M431" s="1">
        <f>L431*Fórmulas!D$6</f>
        <v>857.14285714285711</v>
      </c>
    </row>
    <row r="432" spans="1:13" s="22" customFormat="1" x14ac:dyDescent="0.25">
      <c r="B432" s="26"/>
      <c r="C432" s="26"/>
      <c r="D432" s="26"/>
      <c r="E432" s="22">
        <v>0</v>
      </c>
      <c r="G432" s="1">
        <f>((Fórmulas!C$7/Fórmulas!D$7)/Fórmulas!E$7)*E432</f>
        <v>0</v>
      </c>
      <c r="H432" s="1">
        <f>G432*Fórmulas!B$9</f>
        <v>0</v>
      </c>
      <c r="I432" s="7">
        <f>E432/Fórmulas!E$7</f>
        <v>0</v>
      </c>
      <c r="J432" s="17">
        <f>G432*Fórmulas!B$10</f>
        <v>0</v>
      </c>
      <c r="K432" s="1">
        <v>1</v>
      </c>
      <c r="L432" s="1">
        <f>((Fórmulas!C$6/Fórmulas!D$6)/0.7)*K432</f>
        <v>2.4489795918367347</v>
      </c>
      <c r="M432" s="1">
        <f>L432*Fórmulas!D$6</f>
        <v>857.14285714285711</v>
      </c>
    </row>
    <row r="433" spans="1:13" s="22" customFormat="1" x14ac:dyDescent="0.25">
      <c r="B433" s="26"/>
      <c r="C433" s="26"/>
      <c r="D433" s="26"/>
      <c r="E433" s="22">
        <v>0</v>
      </c>
      <c r="G433" s="1">
        <f>((Fórmulas!C$7/Fórmulas!D$7)/Fórmulas!E$7)*E433</f>
        <v>0</v>
      </c>
      <c r="H433" s="1">
        <f>G433*Fórmulas!B$9</f>
        <v>0</v>
      </c>
      <c r="I433" s="7">
        <f>E433/Fórmulas!E$7</f>
        <v>0</v>
      </c>
      <c r="J433" s="17">
        <f>G433*Fórmulas!B$10</f>
        <v>0</v>
      </c>
      <c r="K433" s="1">
        <v>1</v>
      </c>
      <c r="L433" s="1">
        <f>((Fórmulas!C$6/Fórmulas!D$6)/0.7)*K433</f>
        <v>2.4489795918367347</v>
      </c>
      <c r="M433" s="1">
        <f>L433*Fórmulas!D$6</f>
        <v>857.14285714285711</v>
      </c>
    </row>
    <row r="434" spans="1:13" s="22" customFormat="1" x14ac:dyDescent="0.25">
      <c r="B434" s="26"/>
      <c r="C434" s="26"/>
      <c r="D434" s="26"/>
      <c r="E434" s="22">
        <v>0</v>
      </c>
      <c r="G434" s="1">
        <f>((Fórmulas!C$7/Fórmulas!D$7)/Fórmulas!E$7)*E434</f>
        <v>0</v>
      </c>
      <c r="H434" s="1">
        <f>G434*Fórmulas!B$9</f>
        <v>0</v>
      </c>
      <c r="I434" s="7">
        <f>E434/Fórmulas!E$7</f>
        <v>0</v>
      </c>
      <c r="J434" s="17">
        <f>G434*Fórmulas!B$10</f>
        <v>0</v>
      </c>
      <c r="K434" s="1">
        <v>1</v>
      </c>
      <c r="L434" s="1">
        <f>((Fórmulas!C$6/Fórmulas!D$6)/0.7)*K434</f>
        <v>2.4489795918367347</v>
      </c>
      <c r="M434" s="1">
        <f>L434*Fórmulas!D$6</f>
        <v>857.14285714285711</v>
      </c>
    </row>
    <row r="435" spans="1:13" x14ac:dyDescent="0.25">
      <c r="A435" s="11"/>
      <c r="B435" s="26"/>
      <c r="C435" s="26"/>
      <c r="D435" s="26"/>
      <c r="E435" s="11">
        <v>0</v>
      </c>
      <c r="F435" s="11"/>
      <c r="G435" s="1">
        <f>((Fórmulas!C$7/Fórmulas!D$7)/Fórmulas!E$7)*E435</f>
        <v>0</v>
      </c>
      <c r="H435" s="1">
        <f>G435*Fórmulas!B$9</f>
        <v>0</v>
      </c>
      <c r="I435" s="7">
        <f>E435/Fórmulas!E$7</f>
        <v>0</v>
      </c>
      <c r="J435" s="17">
        <f>G435*Fórmulas!B$10</f>
        <v>0</v>
      </c>
      <c r="K435" s="1">
        <v>1</v>
      </c>
      <c r="L435" s="1">
        <f>((Fórmulas!C$6/Fórmulas!D$6)/0.7)*K435</f>
        <v>2.4489795918367347</v>
      </c>
      <c r="M435" s="1">
        <f>L435*Fórmulas!D$6</f>
        <v>857.14285714285711</v>
      </c>
    </row>
    <row r="436" spans="1:13" x14ac:dyDescent="0.25">
      <c r="A436" s="9"/>
      <c r="B436" s="28" t="s">
        <v>219</v>
      </c>
      <c r="C436" s="28"/>
      <c r="D436" s="28"/>
      <c r="E436" s="9">
        <v>0</v>
      </c>
      <c r="F436" s="9"/>
      <c r="G436" s="1">
        <f>((Fórmulas!C$7/Fórmulas!D$7)/Fórmulas!E$7)*E436</f>
        <v>0</v>
      </c>
      <c r="H436" s="1">
        <f>G436*Fórmulas!B$9</f>
        <v>0</v>
      </c>
      <c r="I436" s="7">
        <f>E436/Fórmulas!E$7</f>
        <v>0</v>
      </c>
      <c r="J436" s="17">
        <f>G436*Fórmulas!B$10</f>
        <v>0</v>
      </c>
      <c r="K436" s="1">
        <v>1</v>
      </c>
      <c r="L436" s="1">
        <f>((Fórmulas!C$6/Fórmulas!D$6)/0.7)*K436</f>
        <v>2.4489795918367347</v>
      </c>
      <c r="M436" s="1">
        <f>L436*Fórmulas!D$6</f>
        <v>857.14285714285711</v>
      </c>
    </row>
    <row r="437" spans="1:13" x14ac:dyDescent="0.25">
      <c r="A437" s="11"/>
      <c r="B437" s="26" t="s">
        <v>220</v>
      </c>
      <c r="C437" s="26"/>
      <c r="D437" s="26"/>
      <c r="E437" s="11">
        <v>1.2</v>
      </c>
      <c r="F437" s="9"/>
      <c r="G437" s="1">
        <f>((Fórmulas!C$7/Fórmulas!D$7)/Fórmulas!E$7)*E437</f>
        <v>3.4285714285714284</v>
      </c>
      <c r="H437" s="1">
        <f>G437*Fórmulas!B$9</f>
        <v>1200</v>
      </c>
      <c r="I437" s="7">
        <f>E437/Fórmulas!E$7</f>
        <v>2</v>
      </c>
      <c r="J437" s="17">
        <f>G437*Fórmulas!B$10</f>
        <v>2057.1428571428569</v>
      </c>
      <c r="K437" s="1">
        <v>1</v>
      </c>
      <c r="L437" s="1">
        <f>((Fórmulas!C$6/Fórmulas!D$6)/0.7)*K437</f>
        <v>2.4489795918367347</v>
      </c>
      <c r="M437" s="1">
        <f>L437*Fórmulas!D$6</f>
        <v>857.14285714285711</v>
      </c>
    </row>
    <row r="438" spans="1:13" x14ac:dyDescent="0.25">
      <c r="A438" s="9"/>
      <c r="B438" s="25"/>
      <c r="C438" s="25"/>
      <c r="D438" s="25"/>
      <c r="E438" s="9">
        <v>0</v>
      </c>
      <c r="F438" s="9"/>
      <c r="G438" s="1">
        <f>((Fórmulas!C$7/Fórmulas!D$7)/Fórmulas!E$7)*E438</f>
        <v>0</v>
      </c>
      <c r="H438" s="1">
        <f>G438*Fórmulas!B$9</f>
        <v>0</v>
      </c>
      <c r="I438" s="7">
        <f>E438/Fórmulas!E$7</f>
        <v>0</v>
      </c>
      <c r="J438" s="17">
        <f>G438*Fórmulas!B$10</f>
        <v>0</v>
      </c>
      <c r="K438" s="1">
        <v>1</v>
      </c>
      <c r="L438" s="1">
        <f>((Fórmulas!C$6/Fórmulas!D$6)/0.7)*K438</f>
        <v>2.4489795918367347</v>
      </c>
      <c r="M438" s="1">
        <f>L438*Fórmulas!D$6</f>
        <v>857.14285714285711</v>
      </c>
    </row>
    <row r="439" spans="1:13" x14ac:dyDescent="0.25">
      <c r="A439" s="9"/>
      <c r="B439" s="25"/>
      <c r="C439" s="25"/>
      <c r="D439" s="25"/>
      <c r="E439" s="9">
        <v>1.9</v>
      </c>
      <c r="F439" s="9"/>
      <c r="G439" s="1">
        <f>((Fórmulas!C$7/Fórmulas!D$7)/Fórmulas!E$7)*E439</f>
        <v>5.4285714285714288</v>
      </c>
      <c r="H439" s="1">
        <f>G439*Fórmulas!B$9</f>
        <v>1900</v>
      </c>
      <c r="I439" s="7">
        <f>E439/Fórmulas!E$7</f>
        <v>3.1666666666666665</v>
      </c>
      <c r="J439" s="17">
        <f>G439*Fórmulas!B$10</f>
        <v>3257.1428571428573</v>
      </c>
      <c r="K439" s="1">
        <v>1</v>
      </c>
      <c r="L439" s="1">
        <f>((Fórmulas!C$6/Fórmulas!D$6)/0.7)*K439</f>
        <v>2.4489795918367347</v>
      </c>
      <c r="M439" s="1">
        <f>L439*Fórmulas!D$6</f>
        <v>857.14285714285711</v>
      </c>
    </row>
    <row r="440" spans="1:13" x14ac:dyDescent="0.25">
      <c r="A440" s="9"/>
      <c r="B440" s="25"/>
      <c r="C440" s="25"/>
      <c r="D440" s="25"/>
      <c r="E440" s="9">
        <v>1.9</v>
      </c>
      <c r="F440" s="9"/>
      <c r="G440" s="1">
        <f>((Fórmulas!C$7/Fórmulas!D$7)/Fórmulas!E$7)*E440</f>
        <v>5.4285714285714288</v>
      </c>
      <c r="H440" s="1">
        <f>G440*Fórmulas!B$9</f>
        <v>1900</v>
      </c>
      <c r="I440" s="7">
        <f>E440/Fórmulas!E$7</f>
        <v>3.1666666666666665</v>
      </c>
      <c r="J440" s="17">
        <f>G440*Fórmulas!B$10</f>
        <v>3257.1428571428573</v>
      </c>
      <c r="K440" s="1">
        <v>1</v>
      </c>
      <c r="L440" s="1">
        <f>((Fórmulas!C$6/Fórmulas!D$6)/0.7)*K440</f>
        <v>2.4489795918367347</v>
      </c>
      <c r="M440" s="1">
        <f>L440*Fórmulas!D$6</f>
        <v>857.14285714285711</v>
      </c>
    </row>
    <row r="441" spans="1:13" x14ac:dyDescent="0.25">
      <c r="A441" s="9"/>
      <c r="B441" s="25"/>
      <c r="C441" s="25"/>
      <c r="D441" s="25"/>
      <c r="E441" s="9">
        <v>1.9</v>
      </c>
      <c r="F441" s="9"/>
      <c r="G441" s="1">
        <f>((Fórmulas!C$7/Fórmulas!D$7)/Fórmulas!E$7)*E441</f>
        <v>5.4285714285714288</v>
      </c>
      <c r="H441" s="1">
        <f>G441*Fórmulas!B$9</f>
        <v>1900</v>
      </c>
      <c r="I441" s="7">
        <f>E441/Fórmulas!E$7</f>
        <v>3.1666666666666665</v>
      </c>
      <c r="J441" s="17">
        <f>G441*Fórmulas!B$10</f>
        <v>3257.1428571428573</v>
      </c>
      <c r="K441" s="1">
        <v>1</v>
      </c>
      <c r="L441" s="1">
        <f>((Fórmulas!C$6/Fórmulas!D$6)/0.7)*K441</f>
        <v>2.4489795918367347</v>
      </c>
      <c r="M441" s="1">
        <f>L441*Fórmulas!D$6</f>
        <v>857.14285714285711</v>
      </c>
    </row>
    <row r="442" spans="1:13" x14ac:dyDescent="0.25">
      <c r="A442" s="9"/>
      <c r="B442" s="25"/>
      <c r="C442" s="25"/>
      <c r="D442" s="25"/>
      <c r="E442" s="9">
        <v>1.9</v>
      </c>
      <c r="F442" s="9"/>
      <c r="G442" s="1">
        <f>((Fórmulas!C$7/Fórmulas!D$7)/Fórmulas!E$7)*E442</f>
        <v>5.4285714285714288</v>
      </c>
      <c r="H442" s="1">
        <f>G442*Fórmulas!B$9</f>
        <v>1900</v>
      </c>
      <c r="I442" s="7">
        <f>E442/Fórmulas!E$7</f>
        <v>3.1666666666666665</v>
      </c>
      <c r="J442" s="17">
        <f>G442*Fórmulas!B$10</f>
        <v>3257.1428571428573</v>
      </c>
      <c r="K442" s="1">
        <v>1</v>
      </c>
      <c r="L442" s="1">
        <f>((Fórmulas!C$6/Fórmulas!D$6)/0.7)*K442</f>
        <v>2.4489795918367347</v>
      </c>
      <c r="M442" s="1">
        <f>L442*Fórmulas!D$6</f>
        <v>857.14285714285711</v>
      </c>
    </row>
    <row r="443" spans="1:13" x14ac:dyDescent="0.25">
      <c r="A443" s="9"/>
      <c r="B443" s="25"/>
      <c r="C443" s="25"/>
      <c r="D443" s="25"/>
      <c r="E443" s="9">
        <v>1.9</v>
      </c>
      <c r="F443" s="9"/>
      <c r="G443" s="1">
        <f>((Fórmulas!C$7/Fórmulas!D$7)/Fórmulas!E$7)*E443</f>
        <v>5.4285714285714288</v>
      </c>
      <c r="H443" s="1">
        <f>G443*Fórmulas!B$9</f>
        <v>1900</v>
      </c>
      <c r="I443" s="7">
        <f>E443/Fórmulas!E$7</f>
        <v>3.1666666666666665</v>
      </c>
      <c r="J443" s="17">
        <f>G443*Fórmulas!B$10</f>
        <v>3257.1428571428573</v>
      </c>
      <c r="K443" s="1">
        <v>1</v>
      </c>
      <c r="L443" s="1">
        <f>((Fórmulas!C$6/Fórmulas!D$6)/0.7)*K443</f>
        <v>2.4489795918367347</v>
      </c>
      <c r="M443" s="1">
        <f>L443*Fórmulas!D$6</f>
        <v>857.14285714285711</v>
      </c>
    </row>
    <row r="444" spans="1:13" x14ac:dyDescent="0.25">
      <c r="A444" s="9"/>
      <c r="E444" s="9">
        <v>1.9</v>
      </c>
      <c r="F444" s="9"/>
      <c r="G444" s="1">
        <f>((Fórmulas!C$7/Fórmulas!D$7)/Fórmulas!E$7)*E444</f>
        <v>5.4285714285714288</v>
      </c>
      <c r="H444" s="1">
        <f>G444*Fórmulas!B$9</f>
        <v>1900</v>
      </c>
      <c r="I444" s="7">
        <f>E444/Fórmulas!E$7</f>
        <v>3.1666666666666665</v>
      </c>
      <c r="J444" s="17">
        <f>G444*Fórmulas!B$10</f>
        <v>3257.1428571428573</v>
      </c>
      <c r="K444" s="1">
        <v>1</v>
      </c>
      <c r="L444" s="1">
        <f>((Fórmulas!C$6/Fórmulas!D$6)/0.7)*K444</f>
        <v>2.4489795918367347</v>
      </c>
      <c r="M444" s="1">
        <f>L444*Fórmulas!D$6</f>
        <v>857.14285714285711</v>
      </c>
    </row>
    <row r="445" spans="1:13" x14ac:dyDescent="0.25">
      <c r="A445" s="9"/>
      <c r="B445" s="26"/>
      <c r="C445" s="26"/>
      <c r="D445" s="26"/>
      <c r="E445" s="9">
        <v>1.9</v>
      </c>
      <c r="F445" s="9"/>
      <c r="G445" s="1">
        <f>((Fórmulas!C$7/Fórmulas!D$7)/Fórmulas!E$7)*E445</f>
        <v>5.4285714285714288</v>
      </c>
      <c r="H445" s="1">
        <f>G445*Fórmulas!B$9</f>
        <v>1900</v>
      </c>
      <c r="I445" s="7">
        <f>E445/Fórmulas!E$7</f>
        <v>3.1666666666666665</v>
      </c>
      <c r="J445" s="17">
        <f>G445*Fórmulas!B$10</f>
        <v>3257.1428571428573</v>
      </c>
      <c r="K445" s="1">
        <v>1</v>
      </c>
      <c r="L445" s="1">
        <f>((Fórmulas!C$6/Fórmulas!D$6)/0.7)*K445</f>
        <v>2.4489795918367347</v>
      </c>
      <c r="M445" s="1">
        <f>L445*Fórmulas!D$6</f>
        <v>857.14285714285711</v>
      </c>
    </row>
    <row r="446" spans="1:13" x14ac:dyDescent="0.25">
      <c r="A446" s="9"/>
      <c r="B446" s="26"/>
      <c r="C446" s="26"/>
      <c r="D446" s="26"/>
      <c r="E446" s="9">
        <v>1.9</v>
      </c>
      <c r="F446" s="9"/>
      <c r="G446" s="1">
        <f>((Fórmulas!C$7/Fórmulas!D$7)/Fórmulas!E$7)*E446</f>
        <v>5.4285714285714288</v>
      </c>
      <c r="H446" s="1">
        <f>G446*Fórmulas!B$9</f>
        <v>1900</v>
      </c>
      <c r="I446" s="7">
        <f>E446/Fórmulas!E$7</f>
        <v>3.1666666666666665</v>
      </c>
      <c r="J446" s="17">
        <f>G446*Fórmulas!B$10</f>
        <v>3257.1428571428573</v>
      </c>
      <c r="K446" s="1">
        <v>1</v>
      </c>
      <c r="L446" s="1">
        <f>((Fórmulas!C$6/Fórmulas!D$6)/0.7)*K446</f>
        <v>2.4489795918367347</v>
      </c>
      <c r="M446" s="1">
        <f>L446*Fórmulas!D$6</f>
        <v>857.14285714285711</v>
      </c>
    </row>
    <row r="447" spans="1:13" x14ac:dyDescent="0.25">
      <c r="A447" s="9"/>
      <c r="B447" s="26"/>
      <c r="C447" s="26"/>
      <c r="D447" s="26"/>
      <c r="E447" s="9">
        <v>1.9</v>
      </c>
      <c r="F447" s="9"/>
      <c r="G447" s="1">
        <f>((Fórmulas!C$7/Fórmulas!D$7)/Fórmulas!E$7)*E447</f>
        <v>5.4285714285714288</v>
      </c>
      <c r="H447" s="1">
        <f>G447*Fórmulas!B$9</f>
        <v>1900</v>
      </c>
      <c r="I447" s="7">
        <f>E447/Fórmulas!E$7</f>
        <v>3.1666666666666665</v>
      </c>
      <c r="J447" s="17">
        <f>G447*Fórmulas!B$10</f>
        <v>3257.1428571428573</v>
      </c>
      <c r="K447" s="1">
        <v>1</v>
      </c>
      <c r="L447" s="1">
        <f>((Fórmulas!C$6/Fórmulas!D$6)/0.7)*K447</f>
        <v>2.4489795918367347</v>
      </c>
      <c r="M447" s="1">
        <f>L447*Fórmulas!D$6</f>
        <v>857.14285714285711</v>
      </c>
    </row>
    <row r="448" spans="1:13" x14ac:dyDescent="0.25">
      <c r="A448" s="9"/>
      <c r="B448" s="26"/>
      <c r="C448" s="26"/>
      <c r="D448" s="26"/>
      <c r="E448" s="9">
        <v>1.9</v>
      </c>
      <c r="F448" s="9"/>
      <c r="G448" s="1">
        <f>((Fórmulas!C$7/Fórmulas!D$7)/Fórmulas!E$7)*E448</f>
        <v>5.4285714285714288</v>
      </c>
      <c r="H448" s="1">
        <f>G448*Fórmulas!B$9</f>
        <v>1900</v>
      </c>
      <c r="I448" s="7">
        <f>E448/Fórmulas!E$7</f>
        <v>3.1666666666666665</v>
      </c>
      <c r="J448" s="17">
        <f>G448*Fórmulas!B$10</f>
        <v>3257.1428571428573</v>
      </c>
      <c r="K448" s="1">
        <v>1</v>
      </c>
      <c r="L448" s="1">
        <f>((Fórmulas!C$6/Fórmulas!D$6)/0.7)*K448</f>
        <v>2.4489795918367347</v>
      </c>
      <c r="M448" s="1">
        <f>L448*Fórmulas!D$6</f>
        <v>857.14285714285711</v>
      </c>
    </row>
    <row r="449" spans="1:13" x14ac:dyDescent="0.25">
      <c r="A449" s="9"/>
      <c r="B449" s="26"/>
      <c r="C449" s="26"/>
      <c r="D449" s="26"/>
      <c r="E449" s="9">
        <v>1.9</v>
      </c>
      <c r="F449" s="9"/>
      <c r="G449" s="1">
        <f>((Fórmulas!C$7/Fórmulas!D$7)/Fórmulas!E$7)*E449</f>
        <v>5.4285714285714288</v>
      </c>
      <c r="H449" s="1">
        <f>G449*Fórmulas!B$9</f>
        <v>1900</v>
      </c>
      <c r="I449" s="7">
        <f>E449/Fórmulas!E$7</f>
        <v>3.1666666666666665</v>
      </c>
      <c r="J449" s="17">
        <f>G449*Fórmulas!B$10</f>
        <v>3257.1428571428573</v>
      </c>
      <c r="K449" s="1">
        <v>1</v>
      </c>
      <c r="L449" s="1">
        <f>((Fórmulas!C$6/Fórmulas!D$6)/0.7)*K449</f>
        <v>2.4489795918367347</v>
      </c>
      <c r="M449" s="1">
        <f>L449*Fórmulas!D$6</f>
        <v>857.14285714285711</v>
      </c>
    </row>
    <row r="450" spans="1:13" x14ac:dyDescent="0.25">
      <c r="A450" s="9"/>
      <c r="B450" s="26"/>
      <c r="C450" s="26"/>
      <c r="D450" s="26"/>
      <c r="E450" s="9">
        <v>1.9</v>
      </c>
      <c r="F450" s="9"/>
      <c r="G450" s="1">
        <f>((Fórmulas!C$7/Fórmulas!D$7)/Fórmulas!E$7)*E450</f>
        <v>5.4285714285714288</v>
      </c>
      <c r="H450" s="1">
        <f>G450*Fórmulas!B$9</f>
        <v>1900</v>
      </c>
      <c r="I450" s="7">
        <f>E450/Fórmulas!E$7</f>
        <v>3.1666666666666665</v>
      </c>
      <c r="J450" s="17">
        <f>G450*Fórmulas!B$10</f>
        <v>3257.1428571428573</v>
      </c>
      <c r="K450" s="1">
        <v>1</v>
      </c>
      <c r="L450" s="1">
        <f>((Fórmulas!C$6/Fórmulas!D$6)/0.7)*K450</f>
        <v>2.4489795918367347</v>
      </c>
      <c r="M450" s="1">
        <f>L450*Fórmulas!D$6</f>
        <v>857.14285714285711</v>
      </c>
    </row>
    <row r="451" spans="1:13" x14ac:dyDescent="0.25">
      <c r="A451" s="9"/>
      <c r="B451" s="26"/>
      <c r="C451" s="26"/>
      <c r="D451" s="26"/>
      <c r="E451" s="9">
        <v>1.9</v>
      </c>
      <c r="F451" s="9"/>
      <c r="G451" s="1">
        <f>((Fórmulas!C$7/Fórmulas!D$7)/Fórmulas!E$7)*E451</f>
        <v>5.4285714285714288</v>
      </c>
      <c r="H451" s="1">
        <f>G451*Fórmulas!B$9</f>
        <v>1900</v>
      </c>
      <c r="I451" s="7">
        <f>E451/Fórmulas!E$7</f>
        <v>3.1666666666666665</v>
      </c>
      <c r="J451" s="17">
        <f>G451*Fórmulas!B$10</f>
        <v>3257.1428571428573</v>
      </c>
      <c r="K451" s="1">
        <v>1</v>
      </c>
      <c r="L451" s="1">
        <f>((Fórmulas!C$6/Fórmulas!D$6)/0.7)*K451</f>
        <v>2.4489795918367347</v>
      </c>
      <c r="M451" s="1">
        <f>L451*Fórmulas!D$6</f>
        <v>857.14285714285711</v>
      </c>
    </row>
    <row r="452" spans="1:13" x14ac:dyDescent="0.25">
      <c r="A452" s="9"/>
      <c r="B452" s="26"/>
      <c r="C452" s="26"/>
      <c r="D452" s="26"/>
      <c r="E452" s="9">
        <v>1.9</v>
      </c>
      <c r="F452" s="9"/>
      <c r="G452" s="1">
        <f>((Fórmulas!C$7/Fórmulas!D$7)/Fórmulas!E$7)*E452</f>
        <v>5.4285714285714288</v>
      </c>
      <c r="H452" s="1">
        <f>G452*Fórmulas!B$9</f>
        <v>1900</v>
      </c>
      <c r="I452" s="7">
        <f>E452/Fórmulas!E$7</f>
        <v>3.1666666666666665</v>
      </c>
      <c r="J452" s="17">
        <f>G452*Fórmulas!B$10</f>
        <v>3257.1428571428573</v>
      </c>
      <c r="K452" s="1">
        <v>1</v>
      </c>
      <c r="L452" s="1">
        <f>((Fórmulas!C$6/Fórmulas!D$6)/0.7)*K452</f>
        <v>2.4489795918367347</v>
      </c>
      <c r="M452" s="1">
        <f>L452*Fórmulas!D$6</f>
        <v>857.14285714285711</v>
      </c>
    </row>
    <row r="453" spans="1:13" x14ac:dyDescent="0.25">
      <c r="A453" s="9"/>
      <c r="B453" s="26"/>
      <c r="C453" s="26"/>
      <c r="D453" s="26"/>
      <c r="E453" s="9">
        <v>1.9</v>
      </c>
      <c r="F453" s="9"/>
      <c r="G453" s="1">
        <f>((Fórmulas!C$7/Fórmulas!D$7)/Fórmulas!E$7)*E453</f>
        <v>5.4285714285714288</v>
      </c>
      <c r="H453" s="1">
        <f>G453*Fórmulas!B$9</f>
        <v>1900</v>
      </c>
      <c r="I453" s="7">
        <f>E453/Fórmulas!E$7</f>
        <v>3.1666666666666665</v>
      </c>
      <c r="J453" s="17">
        <f>G453*Fórmulas!B$10</f>
        <v>3257.1428571428573</v>
      </c>
      <c r="K453" s="1">
        <v>1</v>
      </c>
      <c r="L453" s="1">
        <f>((Fórmulas!C$6/Fórmulas!D$6)/0.7)*K453</f>
        <v>2.4489795918367347</v>
      </c>
      <c r="M453" s="1">
        <f>L453*Fórmulas!D$6</f>
        <v>857.14285714285711</v>
      </c>
    </row>
    <row r="454" spans="1:13" x14ac:dyDescent="0.25">
      <c r="A454" s="9"/>
      <c r="B454" s="26"/>
      <c r="C454" s="26"/>
      <c r="D454" s="26"/>
      <c r="E454" s="9">
        <v>1.9</v>
      </c>
      <c r="F454" s="9"/>
      <c r="G454" s="1">
        <f>((Fórmulas!C$7/Fórmulas!D$7)/Fórmulas!E$7)*E454</f>
        <v>5.4285714285714288</v>
      </c>
      <c r="H454" s="1">
        <f>G454*Fórmulas!B$9</f>
        <v>1900</v>
      </c>
      <c r="I454" s="7">
        <f>E454/Fórmulas!E$7</f>
        <v>3.1666666666666665</v>
      </c>
      <c r="J454" s="17">
        <f>G454*Fórmulas!B$10</f>
        <v>3257.1428571428573</v>
      </c>
      <c r="K454" s="1">
        <v>1</v>
      </c>
      <c r="L454" s="1">
        <f>((Fórmulas!C$6/Fórmulas!D$6)/0.7)*K454</f>
        <v>2.4489795918367347</v>
      </c>
      <c r="M454" s="1">
        <f>L454*Fórmulas!D$6</f>
        <v>857.14285714285711</v>
      </c>
    </row>
    <row r="455" spans="1:13" x14ac:dyDescent="0.25">
      <c r="A455" s="9"/>
      <c r="B455" s="26"/>
      <c r="C455" s="26"/>
      <c r="D455" s="26"/>
      <c r="E455" s="9">
        <v>1.9</v>
      </c>
      <c r="F455" s="9"/>
      <c r="G455" s="1">
        <f>((Fórmulas!C$7/Fórmulas!D$7)/Fórmulas!E$7)*E455</f>
        <v>5.4285714285714288</v>
      </c>
      <c r="H455" s="1">
        <f>G455*Fórmulas!B$9</f>
        <v>1900</v>
      </c>
      <c r="I455" s="7">
        <f>E455/Fórmulas!E$7</f>
        <v>3.1666666666666665</v>
      </c>
      <c r="J455" s="17">
        <f>G455*Fórmulas!B$10</f>
        <v>3257.1428571428573</v>
      </c>
      <c r="K455" s="1">
        <v>1</v>
      </c>
      <c r="L455" s="1">
        <f>((Fórmulas!C$6/Fórmulas!D$6)/0.7)*K455</f>
        <v>2.4489795918367347</v>
      </c>
      <c r="M455" s="1">
        <f>L455*Fórmulas!D$6</f>
        <v>857.14285714285711</v>
      </c>
    </row>
    <row r="456" spans="1:13" x14ac:dyDescent="0.25">
      <c r="A456" s="9"/>
      <c r="B456" s="26"/>
      <c r="C456" s="26"/>
      <c r="D456" s="26"/>
      <c r="E456" s="9"/>
      <c r="F456" s="9"/>
      <c r="G456" s="1">
        <f>((Fórmulas!C$7/Fórmulas!D$7)/Fórmulas!E$7)*E456</f>
        <v>0</v>
      </c>
      <c r="H456" s="1">
        <f>G456*Fórmulas!B$9</f>
        <v>0</v>
      </c>
      <c r="I456" s="7">
        <f>E456/Fórmulas!E$7</f>
        <v>0</v>
      </c>
      <c r="J456" s="17">
        <f>G456*Fórmulas!B$10</f>
        <v>0</v>
      </c>
      <c r="K456" s="1"/>
      <c r="L456" s="1"/>
      <c r="M456" s="1"/>
    </row>
    <row r="457" spans="1:13" x14ac:dyDescent="0.25">
      <c r="A457" s="9"/>
      <c r="B457" s="26"/>
      <c r="C457" s="26"/>
      <c r="D457" s="26"/>
      <c r="E457" s="9"/>
      <c r="F457" s="9"/>
      <c r="G457" s="1">
        <f>((Fórmulas!C$7/Fórmulas!D$7)/Fórmulas!E$7)*E457</f>
        <v>0</v>
      </c>
      <c r="H457" s="1">
        <f>G457*Fórmulas!B$9</f>
        <v>0</v>
      </c>
      <c r="I457" s="7">
        <f>E457/Fórmulas!E$7</f>
        <v>0</v>
      </c>
      <c r="J457" s="17">
        <f>G457*Fórmulas!B$10</f>
        <v>0</v>
      </c>
      <c r="K457" s="1"/>
      <c r="L457" s="1"/>
      <c r="M457" s="1"/>
    </row>
    <row r="458" spans="1:13" x14ac:dyDescent="0.25">
      <c r="A458" s="9"/>
      <c r="B458" s="26"/>
      <c r="C458" s="26"/>
      <c r="D458" s="26"/>
      <c r="E458" s="9"/>
      <c r="F458" s="9"/>
      <c r="G458" s="1">
        <f>((Fórmulas!C$7/Fórmulas!D$7)/Fórmulas!E$7)*E458</f>
        <v>0</v>
      </c>
      <c r="H458" s="1">
        <f>G458*Fórmulas!B$9</f>
        <v>0</v>
      </c>
      <c r="I458" s="7">
        <f>E458/Fórmulas!E$7</f>
        <v>0</v>
      </c>
      <c r="J458" s="17">
        <f>G458*Fórmulas!B$10</f>
        <v>0</v>
      </c>
      <c r="K458" s="1"/>
      <c r="L458" s="1"/>
      <c r="M458" s="1"/>
    </row>
    <row r="459" spans="1:13" x14ac:dyDescent="0.25">
      <c r="A459" s="9"/>
      <c r="B459" s="26"/>
      <c r="C459" s="26"/>
      <c r="D459" s="26"/>
      <c r="E459" s="9">
        <v>0</v>
      </c>
      <c r="F459" s="9"/>
      <c r="G459" s="1">
        <f>((Fórmulas!C$7/Fórmulas!D$7)/Fórmulas!E$7)*E459</f>
        <v>0</v>
      </c>
      <c r="H459" s="1">
        <f>G459*Fórmulas!B$9</f>
        <v>0</v>
      </c>
      <c r="I459" s="7">
        <f>E459/Fórmulas!E$7</f>
        <v>0</v>
      </c>
      <c r="J459" s="17">
        <f>G459*Fórmulas!B$10</f>
        <v>0</v>
      </c>
      <c r="K459" s="1">
        <v>1</v>
      </c>
      <c r="L459" s="1">
        <f>((Fórmulas!C$6/Fórmulas!D$6)/0.7)*K459</f>
        <v>2.4489795918367347</v>
      </c>
      <c r="M459" s="1">
        <f>L459*Fórmulas!D$6</f>
        <v>857.14285714285711</v>
      </c>
    </row>
    <row r="460" spans="1:13" x14ac:dyDescent="0.25">
      <c r="B460" s="26"/>
      <c r="C460" s="26"/>
      <c r="D460" s="26"/>
      <c r="E460" s="9">
        <v>0</v>
      </c>
      <c r="F460" s="9"/>
      <c r="G460" s="1">
        <f>((Fórmulas!C$7/Fórmulas!D$7)/Fórmulas!E$7)*E460</f>
        <v>0</v>
      </c>
      <c r="H460" s="1">
        <f>G460*Fórmulas!B$9</f>
        <v>0</v>
      </c>
      <c r="I460" s="7">
        <f>E460/Fórmulas!E$7</f>
        <v>0</v>
      </c>
      <c r="J460" s="17">
        <f>G460*Fórmulas!B$10</f>
        <v>0</v>
      </c>
      <c r="K460" s="1">
        <v>1</v>
      </c>
      <c r="L460" s="1">
        <f>((Fórmulas!C$6/Fórmulas!D$6)/0.7)*K460</f>
        <v>2.4489795918367347</v>
      </c>
      <c r="M460" s="1">
        <f>L460*Fórmulas!D$6</f>
        <v>857.14285714285711</v>
      </c>
    </row>
    <row r="461" spans="1:13" x14ac:dyDescent="0.25">
      <c r="B461" s="28" t="s">
        <v>321</v>
      </c>
      <c r="C461" s="28"/>
      <c r="D461" s="28"/>
      <c r="E461" s="9">
        <v>3</v>
      </c>
      <c r="F461" s="9"/>
      <c r="G461" s="1">
        <f>((Fórmulas!C$7/Fórmulas!D$7)/Fórmulas!E$7)*E461</f>
        <v>8.5714285714285712</v>
      </c>
      <c r="H461" s="1">
        <f>G461*Fórmulas!B$9</f>
        <v>3000</v>
      </c>
      <c r="I461" s="7">
        <f>E461/Fórmulas!E$7</f>
        <v>5</v>
      </c>
      <c r="J461" s="17">
        <f>G461*Fórmulas!B$10</f>
        <v>5142.8571428571431</v>
      </c>
      <c r="K461" s="1">
        <v>1</v>
      </c>
      <c r="L461" s="1">
        <f>((Fórmulas!C$6/Fórmulas!D$6)/0.7)*K461</f>
        <v>2.4489795918367347</v>
      </c>
      <c r="M461" s="1">
        <f>L461*Fórmulas!D$6</f>
        <v>857.14285714285711</v>
      </c>
    </row>
    <row r="462" spans="1:13" x14ac:dyDescent="0.25">
      <c r="A462" s="9" t="s">
        <v>340</v>
      </c>
      <c r="B462" s="27" t="s">
        <v>341</v>
      </c>
      <c r="C462" s="27"/>
      <c r="D462" s="27"/>
      <c r="E462" s="9">
        <v>3</v>
      </c>
      <c r="F462" s="9"/>
      <c r="G462" s="1">
        <f>((Fórmulas!C$7/Fórmulas!D$7)/Fórmulas!E$7)*E462</f>
        <v>8.5714285714285712</v>
      </c>
      <c r="H462" s="1">
        <f>G462*Fórmulas!B$9</f>
        <v>3000</v>
      </c>
      <c r="I462" s="7">
        <f>E462/Fórmulas!E$7</f>
        <v>5</v>
      </c>
      <c r="J462" s="17">
        <f>G462*Fórmulas!B$10</f>
        <v>5142.8571428571431</v>
      </c>
      <c r="K462" s="1">
        <v>1</v>
      </c>
      <c r="L462" s="1">
        <f>((Fórmulas!C$6/Fórmulas!D$6)/0.7)*K462</f>
        <v>2.4489795918367347</v>
      </c>
      <c r="M462" s="1">
        <f>L462*Fórmulas!D$6</f>
        <v>857.14285714285711</v>
      </c>
    </row>
    <row r="463" spans="1:13" x14ac:dyDescent="0.25">
      <c r="A463" s="9" t="s">
        <v>340</v>
      </c>
      <c r="B463" s="27" t="s">
        <v>342</v>
      </c>
      <c r="C463" s="27"/>
      <c r="D463" s="27"/>
      <c r="E463" s="9">
        <v>3</v>
      </c>
      <c r="F463" s="9"/>
      <c r="G463" s="1">
        <f>((Fórmulas!C$7/Fórmulas!D$7)/Fórmulas!E$7)*E463</f>
        <v>8.5714285714285712</v>
      </c>
      <c r="H463" s="1">
        <f>G463*Fórmulas!B$9</f>
        <v>3000</v>
      </c>
      <c r="I463" s="7">
        <f>E463/Fórmulas!E$7</f>
        <v>5</v>
      </c>
      <c r="J463" s="17">
        <f>G463*Fórmulas!B$10</f>
        <v>5142.8571428571431</v>
      </c>
      <c r="K463" s="1">
        <v>1</v>
      </c>
      <c r="L463" s="1">
        <f>((Fórmulas!C$6/Fórmulas!D$6)/0.7)*K463</f>
        <v>2.4489795918367347</v>
      </c>
      <c r="M463" s="1">
        <f>L463*Fórmulas!D$6</f>
        <v>857.14285714285711</v>
      </c>
    </row>
    <row r="464" spans="1:13" x14ac:dyDescent="0.25">
      <c r="A464" s="9" t="s">
        <v>340</v>
      </c>
      <c r="B464" s="27" t="s">
        <v>343</v>
      </c>
      <c r="C464" s="27"/>
      <c r="D464" s="27"/>
      <c r="E464" s="9">
        <v>3</v>
      </c>
      <c r="F464" s="9"/>
      <c r="G464" s="1">
        <f>((Fórmulas!C$7/Fórmulas!D$7)/Fórmulas!E$7)*E464</f>
        <v>8.5714285714285712</v>
      </c>
      <c r="H464" s="1">
        <f>G464*Fórmulas!B$9</f>
        <v>3000</v>
      </c>
      <c r="I464" s="7">
        <f>E464/Fórmulas!E$7</f>
        <v>5</v>
      </c>
      <c r="J464" s="17">
        <f>G464*Fórmulas!B$10</f>
        <v>5142.8571428571431</v>
      </c>
      <c r="K464" s="1">
        <v>1</v>
      </c>
      <c r="L464" s="1">
        <f>((Fórmulas!C$6/Fórmulas!D$6)/0.7)*K464</f>
        <v>2.4489795918367347</v>
      </c>
      <c r="M464" s="1">
        <f>L464*Fórmulas!D$6</f>
        <v>857.14285714285711</v>
      </c>
    </row>
    <row r="465" spans="1:13" x14ac:dyDescent="0.25">
      <c r="A465" s="9" t="s">
        <v>340</v>
      </c>
      <c r="B465" s="27" t="s">
        <v>344</v>
      </c>
      <c r="C465" s="27"/>
      <c r="D465" s="27"/>
      <c r="E465" s="9">
        <v>1.8</v>
      </c>
      <c r="F465" s="9"/>
      <c r="G465" s="1">
        <f>((Fórmulas!C$7/Fórmulas!D$7)/Fórmulas!E$7)*E465</f>
        <v>5.1428571428571432</v>
      </c>
      <c r="H465" s="1">
        <f>G465*Fórmulas!B$9</f>
        <v>1800.0000000000002</v>
      </c>
      <c r="I465" s="7">
        <f>E465/Fórmulas!E$7</f>
        <v>3</v>
      </c>
      <c r="J465" s="17">
        <f>G465*Fórmulas!B$10</f>
        <v>3085.7142857142858</v>
      </c>
      <c r="K465" s="1">
        <v>1</v>
      </c>
      <c r="L465" s="1">
        <f>((Fórmulas!C$6/Fórmulas!D$6)/0.7)*K465</f>
        <v>2.4489795918367347</v>
      </c>
      <c r="M465" s="1">
        <f>L465*Fórmulas!D$6</f>
        <v>857.14285714285711</v>
      </c>
    </row>
    <row r="466" spans="1:13" x14ac:dyDescent="0.25">
      <c r="A466" s="9" t="s">
        <v>345</v>
      </c>
      <c r="B466" s="27" t="s">
        <v>346</v>
      </c>
      <c r="C466" s="27"/>
      <c r="D466" s="27"/>
      <c r="E466" s="9">
        <v>3</v>
      </c>
      <c r="F466" s="9"/>
      <c r="G466" s="1">
        <f>((Fórmulas!C$7/Fórmulas!D$7)/Fórmulas!E$7)*E466</f>
        <v>8.5714285714285712</v>
      </c>
      <c r="H466" s="1">
        <f>G466*Fórmulas!B$9</f>
        <v>3000</v>
      </c>
      <c r="I466" s="7">
        <f>E466/Fórmulas!E$7</f>
        <v>5</v>
      </c>
      <c r="J466" s="17">
        <f>G466*Fórmulas!B$10</f>
        <v>5142.8571428571431</v>
      </c>
      <c r="K466" s="1">
        <v>1</v>
      </c>
      <c r="L466" s="1">
        <f>((Fórmulas!C$6/Fórmulas!D$6)/0.7)*K466</f>
        <v>2.4489795918367347</v>
      </c>
      <c r="M466" s="1">
        <f>L466*Fórmulas!D$6</f>
        <v>857.14285714285711</v>
      </c>
    </row>
    <row r="467" spans="1:13" x14ac:dyDescent="0.25">
      <c r="A467" s="9" t="s">
        <v>345</v>
      </c>
      <c r="B467" s="27" t="s">
        <v>347</v>
      </c>
      <c r="C467" s="27"/>
      <c r="D467" s="27"/>
      <c r="E467" s="9">
        <v>3.6</v>
      </c>
      <c r="F467" s="9"/>
      <c r="G467" s="1">
        <f>((Fórmulas!C$7/Fórmulas!D$7)/Fórmulas!E$7)*E467</f>
        <v>10.285714285714286</v>
      </c>
      <c r="H467" s="1">
        <f>G467*Fórmulas!B$9</f>
        <v>3600.0000000000005</v>
      </c>
      <c r="I467" s="7">
        <f>E467/Fórmulas!E$7</f>
        <v>6</v>
      </c>
      <c r="J467" s="17">
        <f>G467*Fórmulas!B$10</f>
        <v>6171.4285714285716</v>
      </c>
      <c r="K467" s="1">
        <v>1</v>
      </c>
      <c r="L467" s="1">
        <f>((Fórmulas!C$6/Fórmulas!D$6)/0.7)*K467</f>
        <v>2.4489795918367347</v>
      </c>
      <c r="M467" s="1">
        <f>L467*Fórmulas!D$6</f>
        <v>857.14285714285711</v>
      </c>
    </row>
    <row r="468" spans="1:13" x14ac:dyDescent="0.25">
      <c r="A468" s="9" t="s">
        <v>348</v>
      </c>
      <c r="B468" s="27" t="s">
        <v>564</v>
      </c>
      <c r="C468" s="27"/>
      <c r="D468" s="27"/>
      <c r="E468" s="9">
        <v>4.5999999999999996</v>
      </c>
      <c r="F468" s="9"/>
      <c r="G468" s="1">
        <f>((Fórmulas!C$7/Fórmulas!D$7)/Fórmulas!E$7)*E468</f>
        <v>13.142857142857142</v>
      </c>
      <c r="H468" s="1">
        <f>G468*Fórmulas!B$9</f>
        <v>4600</v>
      </c>
      <c r="I468" s="7">
        <f>E468/Fórmulas!E$7</f>
        <v>7.6666666666666661</v>
      </c>
      <c r="J468" s="17">
        <f>G468*Fórmulas!B$10</f>
        <v>7885.7142857142853</v>
      </c>
      <c r="K468" s="1">
        <v>1</v>
      </c>
      <c r="L468" s="1">
        <f>((Fórmulas!C$6/Fórmulas!D$6)/0.7)*K468</f>
        <v>2.4489795918367347</v>
      </c>
      <c r="M468" s="1">
        <f>L468*Fórmulas!D$6</f>
        <v>857.14285714285711</v>
      </c>
    </row>
    <row r="469" spans="1:13" x14ac:dyDescent="0.25">
      <c r="A469" s="9" t="s">
        <v>345</v>
      </c>
      <c r="B469" s="27" t="s">
        <v>565</v>
      </c>
      <c r="C469" s="27"/>
      <c r="D469" s="27"/>
      <c r="E469" s="9">
        <v>4.5999999999999996</v>
      </c>
      <c r="F469" s="9"/>
      <c r="G469" s="1">
        <f>((Fórmulas!C$7/Fórmulas!D$7)/Fórmulas!E$7)*E469</f>
        <v>13.142857142857142</v>
      </c>
      <c r="H469" s="1">
        <f>G469*Fórmulas!B$9</f>
        <v>4600</v>
      </c>
      <c r="I469" s="7">
        <f>E469/Fórmulas!E$7</f>
        <v>7.6666666666666661</v>
      </c>
      <c r="J469" s="17">
        <f>G469*Fórmulas!B$10</f>
        <v>7885.7142857142853</v>
      </c>
      <c r="K469" s="1">
        <v>1</v>
      </c>
      <c r="L469" s="1">
        <f>((Fórmulas!C$6/Fórmulas!D$6)/0.7)*K469</f>
        <v>2.4489795918367347</v>
      </c>
      <c r="M469" s="1">
        <f>L469*Fórmulas!D$6</f>
        <v>857.14285714285711</v>
      </c>
    </row>
    <row r="470" spans="1:13" x14ac:dyDescent="0.25">
      <c r="A470" s="11" t="s">
        <v>345</v>
      </c>
      <c r="B470" s="27" t="s">
        <v>369</v>
      </c>
      <c r="C470" s="27"/>
      <c r="D470" s="27"/>
      <c r="E470" s="11">
        <v>5.2</v>
      </c>
      <c r="F470" s="9"/>
      <c r="G470" s="1">
        <f>((Fórmulas!C$7/Fórmulas!D$7)/Fórmulas!E$7)*E470</f>
        <v>14.857142857142858</v>
      </c>
      <c r="H470" s="1">
        <f>G470*Fórmulas!B$9</f>
        <v>5200</v>
      </c>
      <c r="I470" s="7">
        <f>E470/Fórmulas!E$7</f>
        <v>8.6666666666666679</v>
      </c>
      <c r="J470" s="17">
        <f>G470*Fórmulas!B$10</f>
        <v>8914.2857142857138</v>
      </c>
      <c r="K470" s="1">
        <v>1</v>
      </c>
      <c r="L470" s="1">
        <f>((Fórmulas!C$6/Fórmulas!D$6)/0.7)*K470</f>
        <v>2.4489795918367347</v>
      </c>
      <c r="M470" s="1">
        <f>L470*Fórmulas!D$6</f>
        <v>857.14285714285711</v>
      </c>
    </row>
    <row r="471" spans="1:13" x14ac:dyDescent="0.25">
      <c r="A471" s="11" t="s">
        <v>345</v>
      </c>
      <c r="B471" s="27" t="s">
        <v>370</v>
      </c>
      <c r="C471" s="27"/>
      <c r="D471" s="27"/>
      <c r="E471" s="11">
        <v>5.2</v>
      </c>
      <c r="F471" s="9"/>
      <c r="G471" s="1">
        <f>((Fórmulas!C$7/Fórmulas!D$7)/Fórmulas!E$7)*E471</f>
        <v>14.857142857142858</v>
      </c>
      <c r="H471" s="1">
        <f>G471*Fórmulas!B$9</f>
        <v>5200</v>
      </c>
      <c r="I471" s="7">
        <f>E471/Fórmulas!E$7</f>
        <v>8.6666666666666679</v>
      </c>
      <c r="J471" s="17">
        <f>G471*Fórmulas!B$10</f>
        <v>8914.2857142857138</v>
      </c>
      <c r="K471" s="1">
        <v>1</v>
      </c>
      <c r="L471" s="1">
        <f>((Fórmulas!C$6/Fórmulas!D$6)/0.7)*K471</f>
        <v>2.4489795918367347</v>
      </c>
      <c r="M471" s="1">
        <f>L471*Fórmulas!D$6</f>
        <v>857.14285714285711</v>
      </c>
    </row>
    <row r="472" spans="1:13" x14ac:dyDescent="0.25">
      <c r="A472" s="11" t="s">
        <v>345</v>
      </c>
      <c r="B472" s="27" t="s">
        <v>371</v>
      </c>
      <c r="C472" s="27"/>
      <c r="D472" s="27"/>
      <c r="E472" s="11">
        <v>5.2</v>
      </c>
      <c r="F472" s="9"/>
      <c r="G472" s="1">
        <f>((Fórmulas!C$7/Fórmulas!D$7)/Fórmulas!E$7)*E472</f>
        <v>14.857142857142858</v>
      </c>
      <c r="H472" s="1">
        <f>G472*Fórmulas!B$9</f>
        <v>5200</v>
      </c>
      <c r="I472" s="7">
        <f>E472/Fórmulas!E$7</f>
        <v>8.6666666666666679</v>
      </c>
      <c r="J472" s="17">
        <f>G472*Fórmulas!B$10</f>
        <v>8914.2857142857138</v>
      </c>
      <c r="K472" s="1">
        <v>1</v>
      </c>
      <c r="L472" s="1">
        <f>((Fórmulas!C$6/Fórmulas!D$6)/0.7)*K472</f>
        <v>2.4489795918367347</v>
      </c>
      <c r="M472" s="1">
        <f>L472*Fórmulas!D$6</f>
        <v>857.14285714285711</v>
      </c>
    </row>
    <row r="473" spans="1:13" x14ac:dyDescent="0.25">
      <c r="A473" s="11" t="s">
        <v>345</v>
      </c>
      <c r="B473" s="27" t="s">
        <v>356</v>
      </c>
      <c r="C473" s="27"/>
      <c r="D473" s="27"/>
      <c r="E473" s="11">
        <v>8</v>
      </c>
      <c r="F473" s="9"/>
      <c r="G473" s="1">
        <f>((Fórmulas!C$7/Fórmulas!D$7)/Fórmulas!E$7)*E473</f>
        <v>22.857142857142858</v>
      </c>
      <c r="H473" s="1">
        <f>G473*Fórmulas!B$9</f>
        <v>8000</v>
      </c>
      <c r="I473" s="7">
        <f>E473/Fórmulas!E$7</f>
        <v>13.333333333333334</v>
      </c>
      <c r="J473" s="17">
        <f>G473*Fórmulas!B$10</f>
        <v>13714.285714285714</v>
      </c>
      <c r="K473" s="1">
        <v>1</v>
      </c>
      <c r="L473" s="1">
        <f>((Fórmulas!C$6/Fórmulas!D$6)/0.7)*K473</f>
        <v>2.4489795918367347</v>
      </c>
      <c r="M473" s="1">
        <f>L473*Fórmulas!D$6</f>
        <v>857.14285714285711</v>
      </c>
    </row>
    <row r="474" spans="1:13" x14ac:dyDescent="0.25">
      <c r="A474" s="11" t="s">
        <v>345</v>
      </c>
      <c r="B474" s="27" t="s">
        <v>355</v>
      </c>
      <c r="C474" s="27"/>
      <c r="D474" s="27"/>
      <c r="E474" s="11">
        <v>8</v>
      </c>
      <c r="F474" s="9"/>
      <c r="G474" s="1">
        <f>((Fórmulas!C$7/Fórmulas!D$7)/Fórmulas!E$7)*E474</f>
        <v>22.857142857142858</v>
      </c>
      <c r="H474" s="1">
        <f>G474*Fórmulas!B$9</f>
        <v>8000</v>
      </c>
      <c r="I474" s="7">
        <f>E474/Fórmulas!E$7</f>
        <v>13.333333333333334</v>
      </c>
      <c r="J474" s="17">
        <f>G474*Fórmulas!B$10</f>
        <v>13714.285714285714</v>
      </c>
      <c r="K474" s="1">
        <v>1</v>
      </c>
      <c r="L474" s="1">
        <f>((Fórmulas!C$6/Fórmulas!D$6)/0.7)*K474</f>
        <v>2.4489795918367347</v>
      </c>
      <c r="M474" s="1">
        <f>L474*Fórmulas!D$6</f>
        <v>857.14285714285711</v>
      </c>
    </row>
    <row r="475" spans="1:13" x14ac:dyDescent="0.25">
      <c r="A475" s="11"/>
      <c r="B475" s="27"/>
      <c r="C475" s="27"/>
      <c r="D475" s="27"/>
      <c r="E475" s="11">
        <v>0</v>
      </c>
      <c r="F475" s="9"/>
      <c r="G475" s="1">
        <f>((Fórmulas!C$7/Fórmulas!D$7)/Fórmulas!E$7)*E475</f>
        <v>0</v>
      </c>
      <c r="H475" s="1">
        <f>G475*Fórmulas!B$9</f>
        <v>0</v>
      </c>
      <c r="I475" s="7">
        <f>E475/Fórmulas!E$7</f>
        <v>0</v>
      </c>
      <c r="J475" s="17">
        <f>G475*Fórmulas!B$10</f>
        <v>0</v>
      </c>
      <c r="K475" s="1">
        <v>1</v>
      </c>
      <c r="L475" s="1">
        <f>((Fórmulas!C$6/Fórmulas!D$6)/0.7)*K475</f>
        <v>2.4489795918367347</v>
      </c>
      <c r="M475" s="1">
        <f>L475*Fórmulas!D$6</f>
        <v>857.14285714285711</v>
      </c>
    </row>
    <row r="476" spans="1:13" x14ac:dyDescent="0.25">
      <c r="A476" s="9"/>
      <c r="B476" s="27"/>
      <c r="C476" s="27"/>
      <c r="D476" s="27"/>
      <c r="E476" s="9">
        <v>0</v>
      </c>
      <c r="F476" s="9"/>
      <c r="G476" s="1">
        <f>((Fórmulas!C$7/Fórmulas!D$7)/Fórmulas!E$7)*E476</f>
        <v>0</v>
      </c>
      <c r="H476" s="1">
        <f>G476*Fórmulas!B$9</f>
        <v>0</v>
      </c>
      <c r="I476" s="7">
        <f>E476/Fórmulas!E$7</f>
        <v>0</v>
      </c>
      <c r="J476" s="17">
        <f>G476*Fórmulas!B$10</f>
        <v>0</v>
      </c>
      <c r="K476" s="1">
        <v>1</v>
      </c>
      <c r="L476" s="1">
        <f>((Fórmulas!C$6/Fórmulas!D$6)/0.7)*K476</f>
        <v>2.4489795918367347</v>
      </c>
      <c r="M476" s="1">
        <f>L476*Fórmulas!D$6</f>
        <v>857.14285714285711</v>
      </c>
    </row>
    <row r="477" spans="1:13" x14ac:dyDescent="0.25">
      <c r="A477" s="11" t="s">
        <v>367</v>
      </c>
      <c r="B477" s="27" t="s">
        <v>645</v>
      </c>
      <c r="C477" s="27"/>
      <c r="D477" s="27"/>
      <c r="E477" s="11">
        <v>1.2</v>
      </c>
      <c r="F477" s="9"/>
      <c r="G477" s="1">
        <f>((Fórmulas!C$7/Fórmulas!D$7)/Fórmulas!E$7)*E477</f>
        <v>3.4285714285714284</v>
      </c>
      <c r="H477" s="1">
        <f>G477*Fórmulas!B$9</f>
        <v>1200</v>
      </c>
      <c r="I477" s="7">
        <f>E477/Fórmulas!E$7</f>
        <v>2</v>
      </c>
      <c r="J477" s="17">
        <f>G477*Fórmulas!B$10</f>
        <v>2057.1428571428569</v>
      </c>
      <c r="K477" s="1">
        <v>1</v>
      </c>
      <c r="L477" s="1">
        <f>((Fórmulas!C$6/Fórmulas!D$6)/0.7)*K477</f>
        <v>2.4489795918367347</v>
      </c>
      <c r="M477" s="1">
        <f>L477*Fórmulas!D$6</f>
        <v>857.14285714285711</v>
      </c>
    </row>
    <row r="478" spans="1:13" x14ac:dyDescent="0.25">
      <c r="A478" s="11" t="s">
        <v>367</v>
      </c>
      <c r="B478" s="27" t="s">
        <v>644</v>
      </c>
      <c r="C478" s="27"/>
      <c r="D478" s="27"/>
      <c r="E478" s="11">
        <v>1.2</v>
      </c>
      <c r="F478" s="9"/>
      <c r="G478" s="1">
        <f>((Fórmulas!C$7/Fórmulas!D$7)/Fórmulas!E$7)*E478</f>
        <v>3.4285714285714284</v>
      </c>
      <c r="H478" s="1">
        <f>G478*Fórmulas!B$9</f>
        <v>1200</v>
      </c>
      <c r="I478" s="7">
        <f>E478/Fórmulas!E$7</f>
        <v>2</v>
      </c>
      <c r="J478" s="17">
        <f>G478*Fórmulas!B$10</f>
        <v>2057.1428571428569</v>
      </c>
      <c r="K478" s="1">
        <v>1</v>
      </c>
      <c r="L478" s="1">
        <f>((Fórmulas!C$6/Fórmulas!D$6)/0.7)*K478</f>
        <v>2.4489795918367347</v>
      </c>
      <c r="M478" s="1">
        <f>L478*Fórmulas!D$6</f>
        <v>857.14285714285711</v>
      </c>
    </row>
    <row r="479" spans="1:13" x14ac:dyDescent="0.25">
      <c r="A479" s="11" t="s">
        <v>367</v>
      </c>
      <c r="B479" s="27" t="s">
        <v>646</v>
      </c>
      <c r="C479" s="27"/>
      <c r="D479" s="27"/>
      <c r="E479" s="11">
        <v>1.8</v>
      </c>
      <c r="F479" s="9"/>
      <c r="G479" s="1">
        <f>((Fórmulas!C$7/Fórmulas!D$7)/Fórmulas!E$7)*E479</f>
        <v>5.1428571428571432</v>
      </c>
      <c r="H479" s="1">
        <f>G479*Fórmulas!B$9</f>
        <v>1800.0000000000002</v>
      </c>
      <c r="I479" s="7">
        <f>E479/Fórmulas!E$7</f>
        <v>3</v>
      </c>
      <c r="J479" s="17">
        <f>G479*Fórmulas!B$10</f>
        <v>3085.7142857142858</v>
      </c>
      <c r="K479" s="1">
        <v>1</v>
      </c>
      <c r="L479" s="1">
        <f>((Fórmulas!C$6/Fórmulas!D$6)/0.7)*K479</f>
        <v>2.4489795918367347</v>
      </c>
      <c r="M479" s="1">
        <f>L479*Fórmulas!D$6</f>
        <v>857.14285714285711</v>
      </c>
    </row>
    <row r="480" spans="1:13" x14ac:dyDescent="0.25">
      <c r="A480" s="11" t="s">
        <v>367</v>
      </c>
      <c r="B480" s="27" t="s">
        <v>643</v>
      </c>
      <c r="C480" s="27"/>
      <c r="D480" s="27"/>
      <c r="E480" s="11">
        <v>1.2</v>
      </c>
      <c r="F480" s="9"/>
      <c r="G480" s="1">
        <f>((Fórmulas!C$7/Fórmulas!D$7)/Fórmulas!E$7)*E480</f>
        <v>3.4285714285714284</v>
      </c>
      <c r="H480" s="1">
        <f>G480*Fórmulas!B$9</f>
        <v>1200</v>
      </c>
      <c r="I480" s="7">
        <f>E480/Fórmulas!E$7</f>
        <v>2</v>
      </c>
      <c r="J480" s="17">
        <f>G480*Fórmulas!B$10</f>
        <v>2057.1428571428569</v>
      </c>
      <c r="K480" s="1">
        <v>1</v>
      </c>
      <c r="L480" s="1">
        <f>((Fórmulas!C$6/Fórmulas!D$6)/0.7)*K480</f>
        <v>2.4489795918367347</v>
      </c>
      <c r="M480" s="1">
        <f>L480*Fórmulas!D$6</f>
        <v>857.14285714285711</v>
      </c>
    </row>
    <row r="481" spans="1:13" x14ac:dyDescent="0.25">
      <c r="A481" s="11" t="s">
        <v>367</v>
      </c>
      <c r="B481" s="27" t="s">
        <v>656</v>
      </c>
      <c r="C481" s="27"/>
      <c r="D481" s="27"/>
      <c r="E481" s="11">
        <v>2.4</v>
      </c>
      <c r="F481" s="9"/>
      <c r="G481" s="1">
        <f>((Fórmulas!C$7/Fórmulas!D$7)/Fórmulas!E$7)*E481</f>
        <v>6.8571428571428568</v>
      </c>
      <c r="H481" s="1">
        <f>G481*Fórmulas!B$9</f>
        <v>2400</v>
      </c>
      <c r="I481" s="7">
        <f>E481/Fórmulas!E$7</f>
        <v>4</v>
      </c>
      <c r="J481" s="17">
        <f>G481*Fórmulas!B$10</f>
        <v>4114.2857142857138</v>
      </c>
      <c r="K481" s="1">
        <v>1</v>
      </c>
      <c r="L481" s="1">
        <f>((Fórmulas!C$6/Fórmulas!D$6)/0.7)*K481</f>
        <v>2.4489795918367347</v>
      </c>
      <c r="M481" s="1">
        <f>L481*Fórmulas!D$6</f>
        <v>857.14285714285711</v>
      </c>
    </row>
    <row r="482" spans="1:13" x14ac:dyDescent="0.25">
      <c r="A482" s="11" t="s">
        <v>367</v>
      </c>
      <c r="B482" s="27" t="s">
        <v>655</v>
      </c>
      <c r="C482" s="27"/>
      <c r="D482" s="27"/>
      <c r="E482" s="11">
        <v>2.4</v>
      </c>
      <c r="F482" s="9"/>
      <c r="G482" s="1">
        <f>((Fórmulas!C$7/Fórmulas!D$7)/Fórmulas!E$7)*E482</f>
        <v>6.8571428571428568</v>
      </c>
      <c r="H482" s="1">
        <f>G482*Fórmulas!B$9</f>
        <v>2400</v>
      </c>
      <c r="I482" s="7">
        <f>E482/Fórmulas!E$7</f>
        <v>4</v>
      </c>
      <c r="J482" s="17">
        <f>G482*Fórmulas!B$10</f>
        <v>4114.2857142857138</v>
      </c>
      <c r="K482" s="1">
        <v>1</v>
      </c>
      <c r="L482" s="1">
        <f>((Fórmulas!C$6/Fórmulas!D$6)/0.7)*K482</f>
        <v>2.4489795918367347</v>
      </c>
      <c r="M482" s="1">
        <f>L482*Fórmulas!D$6</f>
        <v>857.14285714285711</v>
      </c>
    </row>
    <row r="483" spans="1:13" x14ac:dyDescent="0.25">
      <c r="A483" t="s">
        <v>367</v>
      </c>
      <c r="B483" s="27" t="s">
        <v>368</v>
      </c>
      <c r="C483" s="27"/>
      <c r="D483" s="27"/>
      <c r="E483" s="9">
        <v>1.2</v>
      </c>
      <c r="F483" s="9"/>
      <c r="G483" s="1">
        <f>((Fórmulas!C$7/Fórmulas!D$7)/Fórmulas!E$7)*E483</f>
        <v>3.4285714285714284</v>
      </c>
      <c r="H483" s="1">
        <f>G483*Fórmulas!B$9</f>
        <v>1200</v>
      </c>
      <c r="I483" s="7">
        <f>E483/Fórmulas!E$7</f>
        <v>2</v>
      </c>
      <c r="J483" s="17">
        <f>G483*Fórmulas!B$10</f>
        <v>2057.1428571428569</v>
      </c>
      <c r="K483" s="1">
        <v>1</v>
      </c>
      <c r="L483" s="1">
        <f>((Fórmulas!C$6/Fórmulas!D$6)/0.7)*K483</f>
        <v>2.4489795918367347</v>
      </c>
      <c r="M483" s="1">
        <f>L483*Fórmulas!D$6</f>
        <v>857.14285714285711</v>
      </c>
    </row>
    <row r="484" spans="1:13" x14ac:dyDescent="0.25">
      <c r="A484" s="11" t="s">
        <v>367</v>
      </c>
      <c r="B484" s="27" t="s">
        <v>654</v>
      </c>
      <c r="C484" s="27"/>
      <c r="D484" s="27"/>
      <c r="E484" s="11">
        <v>5</v>
      </c>
      <c r="F484" s="9"/>
      <c r="G484" s="1">
        <f>((Fórmulas!C$7/Fórmulas!D$7)/Fórmulas!E$7)*E484</f>
        <v>14.285714285714286</v>
      </c>
      <c r="H484" s="1">
        <f>G484*Fórmulas!B$9</f>
        <v>5000</v>
      </c>
      <c r="I484" s="7">
        <f>E484/Fórmulas!E$7</f>
        <v>8.3333333333333339</v>
      </c>
      <c r="J484" s="17">
        <f>G484*Fórmulas!B$10</f>
        <v>8571.4285714285725</v>
      </c>
      <c r="K484" s="1">
        <v>1</v>
      </c>
      <c r="L484" s="1">
        <f>((Fórmulas!C$6/Fórmulas!D$6)/0.7)*K484</f>
        <v>2.4489795918367347</v>
      </c>
      <c r="M484" s="1">
        <f>L484*Fórmulas!D$6</f>
        <v>857.14285714285711</v>
      </c>
    </row>
    <row r="485" spans="1:13" x14ac:dyDescent="0.25">
      <c r="A485" s="11" t="s">
        <v>367</v>
      </c>
      <c r="B485" s="27" t="s">
        <v>653</v>
      </c>
      <c r="C485" s="27"/>
      <c r="D485" s="27"/>
      <c r="E485" s="11">
        <v>6</v>
      </c>
      <c r="F485" s="9"/>
      <c r="G485" s="1">
        <f>((Fórmulas!C$7/Fórmulas!D$7)/Fórmulas!E$7)*E485</f>
        <v>17.142857142857142</v>
      </c>
      <c r="H485" s="1">
        <f>G485*Fórmulas!B$9</f>
        <v>6000</v>
      </c>
      <c r="I485" s="7">
        <f>E485/Fórmulas!E$7</f>
        <v>10</v>
      </c>
      <c r="J485" s="17">
        <f>G485*Fórmulas!B$10</f>
        <v>10285.714285714286</v>
      </c>
      <c r="K485" s="1">
        <v>1</v>
      </c>
      <c r="L485" s="1">
        <f>((Fórmulas!C$6/Fórmulas!D$6)/0.7)*K485</f>
        <v>2.4489795918367347</v>
      </c>
      <c r="M485" s="1">
        <f>L485*Fórmulas!D$6</f>
        <v>857.14285714285711</v>
      </c>
    </row>
    <row r="486" spans="1:13" s="11" customFormat="1" x14ac:dyDescent="0.25">
      <c r="A486" s="11" t="s">
        <v>367</v>
      </c>
      <c r="B486" s="27" t="s">
        <v>652</v>
      </c>
      <c r="C486" s="27"/>
      <c r="D486" s="27"/>
      <c r="E486" s="11">
        <v>6</v>
      </c>
      <c r="G486" s="1">
        <f>((Fórmulas!C$7/Fórmulas!D$7)/Fórmulas!E$7)*E486</f>
        <v>17.142857142857142</v>
      </c>
      <c r="H486" s="1">
        <f>G486*Fórmulas!B$9</f>
        <v>6000</v>
      </c>
      <c r="I486" s="7">
        <f>E486/Fórmulas!E$7</f>
        <v>10</v>
      </c>
      <c r="J486" s="17">
        <f>G486*Fórmulas!B$10</f>
        <v>10285.714285714286</v>
      </c>
      <c r="K486" s="1">
        <v>1</v>
      </c>
      <c r="L486" s="1">
        <f>((Fórmulas!C$6/Fórmulas!D$6)/0.7)*K486</f>
        <v>2.4489795918367347</v>
      </c>
      <c r="M486" s="1"/>
    </row>
    <row r="487" spans="1:13" s="11" customFormat="1" x14ac:dyDescent="0.25">
      <c r="A487" s="21" t="s">
        <v>367</v>
      </c>
      <c r="B487" s="27" t="s">
        <v>651</v>
      </c>
      <c r="C487" s="27"/>
      <c r="D487" s="27"/>
      <c r="E487" s="11">
        <v>6</v>
      </c>
      <c r="G487" s="1">
        <f>((Fórmulas!C$7/Fórmulas!D$7)/Fórmulas!E$7)*E487</f>
        <v>17.142857142857142</v>
      </c>
      <c r="H487" s="1">
        <f>G487*Fórmulas!B$9</f>
        <v>6000</v>
      </c>
      <c r="I487" s="7">
        <f>E487/Fórmulas!E$7</f>
        <v>10</v>
      </c>
      <c r="J487" s="17">
        <f>G487*Fórmulas!B$10</f>
        <v>10285.714285714286</v>
      </c>
      <c r="K487" s="1">
        <v>1</v>
      </c>
      <c r="L487" s="1">
        <f>((Fórmulas!C$6/Fórmulas!D$6)/0.7)*K487</f>
        <v>2.4489795918367347</v>
      </c>
      <c r="M487" s="1"/>
    </row>
    <row r="488" spans="1:13" s="11" customFormat="1" x14ac:dyDescent="0.25">
      <c r="A488" s="21" t="s">
        <v>367</v>
      </c>
      <c r="B488" s="27" t="s">
        <v>657</v>
      </c>
      <c r="C488" s="27"/>
      <c r="D488" s="27"/>
      <c r="E488" s="11">
        <v>1.5</v>
      </c>
      <c r="G488" s="1">
        <f>((Fórmulas!C$7/Fórmulas!D$7)/Fórmulas!E$7)*E488</f>
        <v>4.2857142857142856</v>
      </c>
      <c r="H488" s="1">
        <f>G488*Fórmulas!B$9</f>
        <v>1500</v>
      </c>
      <c r="I488" s="7">
        <f>E488/Fórmulas!E$7</f>
        <v>2.5</v>
      </c>
      <c r="J488" s="17">
        <f>G488*Fórmulas!B$10</f>
        <v>2571.4285714285716</v>
      </c>
      <c r="K488" s="1">
        <v>1</v>
      </c>
      <c r="L488" s="1">
        <f>((Fórmulas!C$6/Fórmulas!D$6)/0.7)*K488</f>
        <v>2.4489795918367347</v>
      </c>
      <c r="M488" s="1"/>
    </row>
    <row r="489" spans="1:13" s="11" customFormat="1" x14ac:dyDescent="0.25">
      <c r="A489" s="21" t="s">
        <v>367</v>
      </c>
      <c r="B489" s="27" t="s">
        <v>658</v>
      </c>
      <c r="C489" s="27"/>
      <c r="D489" s="27"/>
      <c r="E489" s="11">
        <v>2</v>
      </c>
      <c r="G489" s="1">
        <f>((Fórmulas!C$7/Fórmulas!D$7)/Fórmulas!E$7)*E489</f>
        <v>5.7142857142857144</v>
      </c>
      <c r="H489" s="1">
        <f>G489*Fórmulas!B$9</f>
        <v>2000</v>
      </c>
      <c r="I489" s="7">
        <f>E489/Fórmulas!E$7</f>
        <v>3.3333333333333335</v>
      </c>
      <c r="J489" s="17">
        <f>G489*Fórmulas!B$10</f>
        <v>3428.5714285714284</v>
      </c>
      <c r="K489" s="1">
        <v>1</v>
      </c>
      <c r="L489" s="1">
        <f>((Fórmulas!C$6/Fórmulas!D$6)/0.7)*K489</f>
        <v>2.4489795918367347</v>
      </c>
      <c r="M489" s="1"/>
    </row>
    <row r="490" spans="1:13" s="11" customFormat="1" x14ac:dyDescent="0.25">
      <c r="A490" s="21" t="s">
        <v>367</v>
      </c>
      <c r="B490" s="27" t="s">
        <v>696</v>
      </c>
      <c r="C490" s="27"/>
      <c r="D490" s="27"/>
      <c r="E490" s="11">
        <v>2.4</v>
      </c>
      <c r="G490" s="1">
        <f>((Fórmulas!C$7/Fórmulas!D$7)/Fórmulas!E$7)*E490</f>
        <v>6.8571428571428568</v>
      </c>
      <c r="H490" s="1">
        <f>G490*Fórmulas!B$9</f>
        <v>2400</v>
      </c>
      <c r="I490" s="7">
        <f>E490/Fórmulas!E$7</f>
        <v>4</v>
      </c>
      <c r="J490" s="17">
        <f>G490*Fórmulas!B$10</f>
        <v>4114.2857142857138</v>
      </c>
      <c r="K490" s="1">
        <v>1</v>
      </c>
      <c r="L490" s="1">
        <f>((Fórmulas!C$6/Fórmulas!D$6)/0.7)*K490</f>
        <v>2.4489795918367347</v>
      </c>
      <c r="M490" s="1"/>
    </row>
    <row r="491" spans="1:13" s="11" customFormat="1" x14ac:dyDescent="0.25">
      <c r="A491" s="21" t="s">
        <v>367</v>
      </c>
      <c r="B491" s="27" t="s">
        <v>697</v>
      </c>
      <c r="C491" s="27"/>
      <c r="D491" s="27"/>
      <c r="E491" s="11">
        <v>1.5</v>
      </c>
      <c r="G491" s="1">
        <f>((Fórmulas!C$7/Fórmulas!D$7)/Fórmulas!E$7)*E491</f>
        <v>4.2857142857142856</v>
      </c>
      <c r="H491" s="1">
        <f>G491*Fórmulas!B$9</f>
        <v>1500</v>
      </c>
      <c r="I491" s="7">
        <f>E491/Fórmulas!E$7</f>
        <v>2.5</v>
      </c>
      <c r="J491" s="17">
        <f>G491*Fórmulas!B$10</f>
        <v>2571.4285714285716</v>
      </c>
      <c r="K491" s="1">
        <v>1</v>
      </c>
      <c r="L491" s="1">
        <f>((Fórmulas!C$6/Fórmulas!D$6)/0.7)*K491</f>
        <v>2.4489795918367347</v>
      </c>
      <c r="M491" s="1"/>
    </row>
    <row r="492" spans="1:13" s="11" customFormat="1" x14ac:dyDescent="0.25">
      <c r="A492" s="21" t="s">
        <v>367</v>
      </c>
      <c r="B492" s="27" t="s">
        <v>698</v>
      </c>
      <c r="C492" s="27"/>
      <c r="D492" s="27"/>
      <c r="E492" s="11">
        <v>1.8</v>
      </c>
      <c r="G492" s="1">
        <f>((Fórmulas!C$7/Fórmulas!D$7)/Fórmulas!E$7)*E492</f>
        <v>5.1428571428571432</v>
      </c>
      <c r="H492" s="1">
        <f>G492*Fórmulas!B$9</f>
        <v>1800.0000000000002</v>
      </c>
      <c r="I492" s="7">
        <f>E492/Fórmulas!E$7</f>
        <v>3</v>
      </c>
      <c r="J492" s="17">
        <f>G492*Fórmulas!B$10</f>
        <v>3085.7142857142858</v>
      </c>
      <c r="K492" s="1">
        <v>1</v>
      </c>
      <c r="L492" s="1">
        <f>((Fórmulas!C$6/Fórmulas!D$6)/0.7)*K492</f>
        <v>2.4489795918367347</v>
      </c>
      <c r="M492" s="1"/>
    </row>
    <row r="493" spans="1:13" s="11" customFormat="1" x14ac:dyDescent="0.25">
      <c r="A493" s="21" t="s">
        <v>367</v>
      </c>
      <c r="B493" s="27" t="s">
        <v>699</v>
      </c>
      <c r="C493" s="27"/>
      <c r="D493" s="27"/>
      <c r="E493" s="11">
        <v>1.8</v>
      </c>
      <c r="G493" s="1">
        <f>((Fórmulas!C$7/Fórmulas!D$7)/Fórmulas!E$7)*E493</f>
        <v>5.1428571428571432</v>
      </c>
      <c r="H493" s="1">
        <f>G493*Fórmulas!B$9</f>
        <v>1800.0000000000002</v>
      </c>
      <c r="I493" s="7">
        <f>E493/Fórmulas!E$7</f>
        <v>3</v>
      </c>
      <c r="J493" s="17">
        <f>G493*Fórmulas!B$10</f>
        <v>3085.7142857142858</v>
      </c>
      <c r="K493" s="1">
        <v>1</v>
      </c>
      <c r="L493" s="1">
        <f>((Fórmulas!C$6/Fórmulas!D$6)/0.7)*K493</f>
        <v>2.4489795918367347</v>
      </c>
      <c r="M493" s="1"/>
    </row>
    <row r="494" spans="1:13" s="11" customFormat="1" x14ac:dyDescent="0.25">
      <c r="A494" s="21" t="s">
        <v>367</v>
      </c>
      <c r="B494" s="27" t="s">
        <v>700</v>
      </c>
      <c r="C494" s="27"/>
      <c r="D494" s="27"/>
      <c r="E494" s="11">
        <v>1.8</v>
      </c>
      <c r="G494" s="1">
        <f>((Fórmulas!C$7/Fórmulas!D$7)/Fórmulas!E$7)*E494</f>
        <v>5.1428571428571432</v>
      </c>
      <c r="H494" s="1">
        <f>G494*Fórmulas!B$9</f>
        <v>1800.0000000000002</v>
      </c>
      <c r="I494" s="7">
        <f>E494/Fórmulas!E$7</f>
        <v>3</v>
      </c>
      <c r="J494" s="17">
        <f>G494*Fórmulas!B$10</f>
        <v>3085.7142857142858</v>
      </c>
      <c r="K494" s="1">
        <v>1</v>
      </c>
      <c r="L494" s="1">
        <f>((Fórmulas!C$6/Fórmulas!D$6)/0.7)*K494</f>
        <v>2.4489795918367347</v>
      </c>
      <c r="M494" s="1"/>
    </row>
    <row r="495" spans="1:13" s="11" customFormat="1" x14ac:dyDescent="0.25">
      <c r="A495" s="11" t="s">
        <v>367</v>
      </c>
      <c r="B495" s="27" t="s">
        <v>827</v>
      </c>
      <c r="C495" s="27"/>
      <c r="D495" s="27"/>
      <c r="E495" s="11">
        <v>2.4</v>
      </c>
      <c r="G495" s="1">
        <f>((Fórmulas!C$7/Fórmulas!D$7)/Fórmulas!E$7)*E495</f>
        <v>6.8571428571428568</v>
      </c>
      <c r="H495" s="1">
        <f>G495*Fórmulas!B$9</f>
        <v>2400</v>
      </c>
      <c r="I495" s="7">
        <f>E495/Fórmulas!E$7</f>
        <v>4</v>
      </c>
      <c r="J495" s="17">
        <f>G495*Fórmulas!B$10</f>
        <v>4114.2857142857138</v>
      </c>
      <c r="K495" s="1">
        <v>1</v>
      </c>
      <c r="L495" s="1">
        <f>((Fórmulas!C$6/Fórmulas!D$6)/0.7)*K495</f>
        <v>2.4489795918367347</v>
      </c>
      <c r="M495" s="1"/>
    </row>
    <row r="496" spans="1:13" s="11" customFormat="1" x14ac:dyDescent="0.25">
      <c r="A496" s="11" t="s">
        <v>367</v>
      </c>
      <c r="B496" s="27" t="s">
        <v>867</v>
      </c>
      <c r="C496" s="27"/>
      <c r="D496" s="27"/>
      <c r="E496" s="11">
        <v>1.8</v>
      </c>
      <c r="G496" s="1">
        <f>((Fórmulas!C$7/Fórmulas!D$7)/Fórmulas!E$7)*E496</f>
        <v>5.1428571428571432</v>
      </c>
      <c r="H496" s="1">
        <f>G496*Fórmulas!B$9</f>
        <v>1800.0000000000002</v>
      </c>
      <c r="I496" s="7">
        <f>E496/Fórmulas!E$7</f>
        <v>3</v>
      </c>
      <c r="J496" s="17">
        <f>G496*Fórmulas!B$10</f>
        <v>3085.7142857142858</v>
      </c>
      <c r="K496" s="1">
        <v>1</v>
      </c>
      <c r="L496" s="1">
        <f>((Fórmulas!C$6/Fórmulas!D$6)/0.7)*K496</f>
        <v>2.4489795918367347</v>
      </c>
      <c r="M496" s="1"/>
    </row>
    <row r="497" spans="1:13" s="11" customFormat="1" x14ac:dyDescent="0.25">
      <c r="A497" s="11" t="s">
        <v>367</v>
      </c>
      <c r="B497" s="27" t="s">
        <v>905</v>
      </c>
      <c r="C497" s="27"/>
      <c r="D497" s="27"/>
      <c r="E497" s="11">
        <v>6</v>
      </c>
      <c r="G497" s="1">
        <f>((Fórmulas!C$7/Fórmulas!D$7)/Fórmulas!E$7)*E497</f>
        <v>17.142857142857142</v>
      </c>
      <c r="H497" s="1">
        <f>G497*Fórmulas!B$9</f>
        <v>6000</v>
      </c>
      <c r="I497" s="7">
        <f>E497/Fórmulas!E$7</f>
        <v>10</v>
      </c>
      <c r="J497" s="17">
        <f>G497*Fórmulas!B$10</f>
        <v>10285.714285714286</v>
      </c>
      <c r="K497" s="1">
        <v>1</v>
      </c>
      <c r="L497" s="1">
        <f>((Fórmulas!C$6/Fórmulas!D$6)/0.7)*K497</f>
        <v>2.4489795918367347</v>
      </c>
      <c r="M497" s="1"/>
    </row>
    <row r="498" spans="1:13" s="11" customFormat="1" x14ac:dyDescent="0.25">
      <c r="A498" s="11" t="s">
        <v>367</v>
      </c>
      <c r="B498" s="27" t="s">
        <v>906</v>
      </c>
      <c r="C498" s="27"/>
      <c r="D498" s="27"/>
      <c r="E498" s="11">
        <v>7</v>
      </c>
      <c r="G498" s="1">
        <f>((Fórmulas!C$7/Fórmulas!D$7)/Fórmulas!E$7)*E498</f>
        <v>20</v>
      </c>
      <c r="H498" s="1">
        <f>G498*Fórmulas!B$9</f>
        <v>7000</v>
      </c>
      <c r="I498" s="7">
        <f>E498/Fórmulas!E$7</f>
        <v>11.666666666666668</v>
      </c>
      <c r="J498" s="17">
        <f>G498*Fórmulas!B$10</f>
        <v>12000</v>
      </c>
      <c r="K498" s="1">
        <v>1</v>
      </c>
      <c r="L498" s="1">
        <f>((Fórmulas!C$6/Fórmulas!D$6)/0.7)*K498</f>
        <v>2.4489795918367347</v>
      </c>
      <c r="M498" s="1"/>
    </row>
    <row r="499" spans="1:13" x14ac:dyDescent="0.25">
      <c r="A499" s="9" t="s">
        <v>367</v>
      </c>
      <c r="B499" s="27" t="s">
        <v>909</v>
      </c>
      <c r="C499" s="27"/>
      <c r="D499" s="27"/>
      <c r="E499" s="9">
        <v>8.1</v>
      </c>
      <c r="F499" s="9"/>
      <c r="G499" s="1">
        <f>((Fórmulas!C$7/Fórmulas!D$7)/Fórmulas!E$7)*E499</f>
        <v>23.142857142857142</v>
      </c>
      <c r="H499" s="1">
        <f>G499*Fórmulas!B$9</f>
        <v>8100</v>
      </c>
      <c r="I499" s="7">
        <f>E499/Fórmulas!E$7</f>
        <v>13.5</v>
      </c>
      <c r="J499" s="17">
        <f>G499*Fórmulas!B$10</f>
        <v>13885.714285714286</v>
      </c>
      <c r="K499" s="1">
        <v>1</v>
      </c>
      <c r="L499" s="1">
        <f>((Fórmulas!C$6/Fórmulas!D$6)/0.7)*K499</f>
        <v>2.4489795918367347</v>
      </c>
      <c r="M499" s="1">
        <f>L499*Fórmulas!D$6</f>
        <v>857.14285714285711</v>
      </c>
    </row>
    <row r="500" spans="1:13" x14ac:dyDescent="0.25">
      <c r="A500" s="9"/>
      <c r="B500" s="26"/>
      <c r="C500" s="26"/>
      <c r="D500" s="26"/>
      <c r="E500" s="9">
        <v>0</v>
      </c>
      <c r="F500" s="9"/>
      <c r="G500" s="1">
        <f>((Fórmulas!C$7/Fórmulas!D$7)/Fórmulas!E$7)*E500</f>
        <v>0</v>
      </c>
      <c r="H500" s="1">
        <f>G500*Fórmulas!B$9</f>
        <v>0</v>
      </c>
      <c r="I500" s="7">
        <f>E500/Fórmulas!E$7</f>
        <v>0</v>
      </c>
      <c r="J500" s="17">
        <f>G500*Fórmulas!B$10</f>
        <v>0</v>
      </c>
      <c r="K500" s="1">
        <v>1</v>
      </c>
      <c r="L500" s="1">
        <f>((Fórmulas!C$6/Fórmulas!D$6)/0.7)*K500</f>
        <v>2.4489795918367347</v>
      </c>
      <c r="M500" s="1">
        <f>L500*Fórmulas!D$6</f>
        <v>857.14285714285711</v>
      </c>
    </row>
    <row r="501" spans="1:13" x14ac:dyDescent="0.25">
      <c r="A501" s="11" t="s">
        <v>349</v>
      </c>
      <c r="B501" s="27" t="s">
        <v>351</v>
      </c>
      <c r="C501" s="27"/>
      <c r="D501" s="27"/>
      <c r="E501" s="11">
        <v>3.6</v>
      </c>
      <c r="F501" s="9"/>
      <c r="G501" s="1">
        <f>((Fórmulas!C$7/Fórmulas!D$7)/Fórmulas!E$7)*E501</f>
        <v>10.285714285714286</v>
      </c>
      <c r="H501" s="1">
        <f>G501*Fórmulas!B$9</f>
        <v>3600.0000000000005</v>
      </c>
      <c r="I501" s="7">
        <f>E501/Fórmulas!E$7</f>
        <v>6</v>
      </c>
      <c r="J501" s="17">
        <f>G501*Fórmulas!B$10</f>
        <v>6171.4285714285716</v>
      </c>
      <c r="K501" s="1">
        <v>1</v>
      </c>
      <c r="L501" s="1">
        <f>((Fórmulas!C$6/Fórmulas!D$6)/0.7)*K501</f>
        <v>2.4489795918367347</v>
      </c>
      <c r="M501" s="1">
        <f>L501*Fórmulas!D$6</f>
        <v>857.14285714285711</v>
      </c>
    </row>
    <row r="502" spans="1:13" x14ac:dyDescent="0.25">
      <c r="A502" s="11" t="s">
        <v>349</v>
      </c>
      <c r="B502" s="27" t="s">
        <v>352</v>
      </c>
      <c r="C502" s="27"/>
      <c r="D502" s="27"/>
      <c r="E502" s="11">
        <v>3</v>
      </c>
      <c r="F502" s="9"/>
      <c r="G502" s="1">
        <f>((Fórmulas!C$7/Fórmulas!D$7)/Fórmulas!E$7)*E502</f>
        <v>8.5714285714285712</v>
      </c>
      <c r="H502" s="1">
        <f>G502*Fórmulas!B$9</f>
        <v>3000</v>
      </c>
      <c r="I502" s="7">
        <f>E502/Fórmulas!E$7</f>
        <v>5</v>
      </c>
      <c r="J502" s="17">
        <f>G502*Fórmulas!B$10</f>
        <v>5142.8571428571431</v>
      </c>
      <c r="K502" s="1">
        <v>1</v>
      </c>
      <c r="L502" s="1">
        <f>((Fórmulas!C$6/Fórmulas!D$6)/0.7)*K502</f>
        <v>2.4489795918367347</v>
      </c>
      <c r="M502" s="1">
        <f>L502*Fórmulas!D$6</f>
        <v>857.14285714285711</v>
      </c>
    </row>
    <row r="503" spans="1:13" x14ac:dyDescent="0.25">
      <c r="A503" s="11" t="s">
        <v>353</v>
      </c>
      <c r="B503" s="27" t="s">
        <v>354</v>
      </c>
      <c r="C503" s="27"/>
      <c r="D503" s="27"/>
      <c r="E503" s="11">
        <v>3</v>
      </c>
      <c r="F503" s="9"/>
      <c r="G503" s="1">
        <f>((Fórmulas!C$7/Fórmulas!D$7)/Fórmulas!E$7)*E503</f>
        <v>8.5714285714285712</v>
      </c>
      <c r="H503" s="1">
        <f>G503*Fórmulas!B$9</f>
        <v>3000</v>
      </c>
      <c r="I503" s="7">
        <f>E503/Fórmulas!E$7</f>
        <v>5</v>
      </c>
      <c r="J503" s="17">
        <f>G503*Fórmulas!B$10</f>
        <v>5142.8571428571431</v>
      </c>
      <c r="K503" s="1">
        <v>1</v>
      </c>
      <c r="L503" s="1">
        <f>((Fórmulas!C$6/Fórmulas!D$6)/0.7)*K503</f>
        <v>2.4489795918367347</v>
      </c>
      <c r="M503" s="1">
        <f>L503*Fórmulas!D$6</f>
        <v>857.14285714285711</v>
      </c>
    </row>
    <row r="504" spans="1:13" x14ac:dyDescent="0.25">
      <c r="A504" s="11" t="s">
        <v>353</v>
      </c>
      <c r="B504" s="27" t="s">
        <v>357</v>
      </c>
      <c r="C504" s="27"/>
      <c r="D504" s="27"/>
      <c r="E504" s="11">
        <v>4.5999999999999996</v>
      </c>
      <c r="F504" s="9"/>
      <c r="G504" s="1">
        <f>((Fórmulas!C$7/Fórmulas!D$7)/Fórmulas!E$7)*E504</f>
        <v>13.142857142857142</v>
      </c>
      <c r="H504" s="1">
        <f>G504*Fórmulas!B$9</f>
        <v>4600</v>
      </c>
      <c r="I504" s="7">
        <f>E504/Fórmulas!E$7</f>
        <v>7.6666666666666661</v>
      </c>
      <c r="J504" s="17">
        <f>G504*Fórmulas!B$10</f>
        <v>7885.7142857142853</v>
      </c>
      <c r="K504" s="1">
        <v>1</v>
      </c>
      <c r="L504" s="1">
        <f>((Fórmulas!C$6/Fórmulas!D$6)/0.7)*K504</f>
        <v>2.4489795918367347</v>
      </c>
      <c r="M504" s="1">
        <f>L504*Fórmulas!D$6</f>
        <v>857.14285714285711</v>
      </c>
    </row>
    <row r="505" spans="1:13" x14ac:dyDescent="0.25">
      <c r="A505" s="11" t="s">
        <v>353</v>
      </c>
      <c r="B505" s="27" t="s">
        <v>358</v>
      </c>
      <c r="C505" s="27"/>
      <c r="D505" s="27"/>
      <c r="E505" s="11">
        <v>4.5999999999999996</v>
      </c>
      <c r="F505" s="9"/>
      <c r="G505" s="1">
        <f>((Fórmulas!C$7/Fórmulas!D$7)/Fórmulas!E$7)*E505</f>
        <v>13.142857142857142</v>
      </c>
      <c r="H505" s="1">
        <f>G505*Fórmulas!B$9</f>
        <v>4600</v>
      </c>
      <c r="I505" s="7">
        <f>E505/Fórmulas!E$7</f>
        <v>7.6666666666666661</v>
      </c>
      <c r="J505" s="17">
        <f>G505*Fórmulas!B$10</f>
        <v>7885.7142857142853</v>
      </c>
      <c r="K505" s="1">
        <v>1</v>
      </c>
      <c r="L505" s="1">
        <f>((Fórmulas!C$6/Fórmulas!D$6)/0.7)*K505</f>
        <v>2.4489795918367347</v>
      </c>
      <c r="M505" s="1">
        <f>L505*Fórmulas!D$6</f>
        <v>857.14285714285711</v>
      </c>
    </row>
    <row r="506" spans="1:13" x14ac:dyDescent="0.25">
      <c r="A506" s="11" t="s">
        <v>353</v>
      </c>
      <c r="B506" s="27" t="s">
        <v>359</v>
      </c>
      <c r="C506" s="27"/>
      <c r="D506" s="27"/>
      <c r="E506" s="11">
        <v>4.5999999999999996</v>
      </c>
      <c r="F506" s="9"/>
      <c r="G506" s="1">
        <f>((Fórmulas!C$7/Fórmulas!D$7)/Fórmulas!E$7)*E506</f>
        <v>13.142857142857142</v>
      </c>
      <c r="H506" s="1">
        <f>G506*Fórmulas!B$9</f>
        <v>4600</v>
      </c>
      <c r="I506" s="7">
        <f>E506/Fórmulas!E$7</f>
        <v>7.6666666666666661</v>
      </c>
      <c r="J506" s="17">
        <f>G506*Fórmulas!B$10</f>
        <v>7885.7142857142853</v>
      </c>
      <c r="K506" s="1">
        <v>1</v>
      </c>
      <c r="L506" s="1">
        <f>((Fórmulas!C$6/Fórmulas!D$6)/0.7)*K506</f>
        <v>2.4489795918367347</v>
      </c>
      <c r="M506" s="1">
        <f>L506*Fórmulas!D$6</f>
        <v>857.14285714285711</v>
      </c>
    </row>
    <row r="507" spans="1:13" x14ac:dyDescent="0.25">
      <c r="A507" s="11" t="s">
        <v>353</v>
      </c>
      <c r="B507" s="27" t="s">
        <v>360</v>
      </c>
      <c r="C507" s="27"/>
      <c r="D507" s="27"/>
      <c r="E507" s="11">
        <v>4.5999999999999996</v>
      </c>
      <c r="F507" s="9"/>
      <c r="G507" s="1">
        <f>((Fórmulas!C$7/Fórmulas!D$7)/Fórmulas!E$7)*E507</f>
        <v>13.142857142857142</v>
      </c>
      <c r="H507" s="1">
        <f>G507*Fórmulas!B$9</f>
        <v>4600</v>
      </c>
      <c r="I507" s="7">
        <f>E507/Fórmulas!E$7</f>
        <v>7.6666666666666661</v>
      </c>
      <c r="J507" s="17">
        <f>G507*Fórmulas!B$10</f>
        <v>7885.7142857142853</v>
      </c>
      <c r="K507" s="1">
        <v>1</v>
      </c>
      <c r="L507" s="1">
        <f>((Fórmulas!C$6/Fórmulas!D$6)/0.7)*K507</f>
        <v>2.4489795918367347</v>
      </c>
      <c r="M507" s="1">
        <f>L507*Fórmulas!D$6</f>
        <v>857.14285714285711</v>
      </c>
    </row>
    <row r="508" spans="1:13" x14ac:dyDescent="0.25">
      <c r="A508" s="11" t="s">
        <v>353</v>
      </c>
      <c r="B508" s="27" t="s">
        <v>361</v>
      </c>
      <c r="C508" s="27"/>
      <c r="D508" s="27"/>
      <c r="E508" s="11">
        <v>4.5999999999999996</v>
      </c>
      <c r="F508" s="9"/>
      <c r="G508" s="1">
        <f>((Fórmulas!C$7/Fórmulas!D$7)/Fórmulas!E$7)*E508</f>
        <v>13.142857142857142</v>
      </c>
      <c r="H508" s="1">
        <f>G508*Fórmulas!B$9</f>
        <v>4600</v>
      </c>
      <c r="I508" s="7">
        <f>E508/Fórmulas!E$7</f>
        <v>7.6666666666666661</v>
      </c>
      <c r="J508" s="17">
        <f>G508*Fórmulas!B$10</f>
        <v>7885.7142857142853</v>
      </c>
      <c r="K508" s="1">
        <v>1</v>
      </c>
      <c r="L508" s="1">
        <f>((Fórmulas!C$6/Fórmulas!D$6)/0.7)*K508</f>
        <v>2.4489795918367347</v>
      </c>
      <c r="M508" s="1">
        <f>L508*Fórmulas!D$6</f>
        <v>857.14285714285711</v>
      </c>
    </row>
    <row r="509" spans="1:13" x14ac:dyDescent="0.25">
      <c r="A509" s="11" t="s">
        <v>353</v>
      </c>
      <c r="B509" s="27" t="s">
        <v>362</v>
      </c>
      <c r="C509" s="27"/>
      <c r="D509" s="27"/>
      <c r="E509" s="11">
        <v>4.5999999999999996</v>
      </c>
      <c r="F509" s="9"/>
      <c r="G509" s="1">
        <f>((Fórmulas!C$7/Fórmulas!D$7)/Fórmulas!E$7)*E509</f>
        <v>13.142857142857142</v>
      </c>
      <c r="H509" s="1">
        <f>G509*Fórmulas!B$9</f>
        <v>4600</v>
      </c>
      <c r="I509" s="7">
        <f>E509/Fórmulas!E$7</f>
        <v>7.6666666666666661</v>
      </c>
      <c r="J509" s="17">
        <f>G509*Fórmulas!B$10</f>
        <v>7885.7142857142853</v>
      </c>
      <c r="K509" s="1">
        <v>1</v>
      </c>
      <c r="L509" s="1">
        <f>((Fórmulas!C$6/Fórmulas!D$6)/0.7)*K509</f>
        <v>2.4489795918367347</v>
      </c>
      <c r="M509" s="1">
        <f>L509*Fórmulas!D$6</f>
        <v>857.14285714285711</v>
      </c>
    </row>
    <row r="510" spans="1:13" x14ac:dyDescent="0.25">
      <c r="A510" s="9"/>
      <c r="B510" s="26"/>
      <c r="C510" s="26"/>
      <c r="D510" s="26"/>
      <c r="E510" s="9">
        <v>0</v>
      </c>
      <c r="F510" s="9"/>
      <c r="G510" s="1">
        <f>((Fórmulas!C$7/Fórmulas!D$7)/Fórmulas!E$7)*E510</f>
        <v>0</v>
      </c>
      <c r="H510" s="1">
        <f>G510*Fórmulas!B$9</f>
        <v>0</v>
      </c>
      <c r="I510" s="7">
        <f>E510/Fórmulas!E$7</f>
        <v>0</v>
      </c>
      <c r="J510" s="17">
        <f>G510*Fórmulas!B$10</f>
        <v>0</v>
      </c>
      <c r="K510" s="1">
        <v>1</v>
      </c>
      <c r="L510" s="1">
        <f>((Fórmulas!C$6/Fórmulas!D$6)/0.7)*K510</f>
        <v>2.4489795918367347</v>
      </c>
      <c r="M510" s="1">
        <f>L510*Fórmulas!D$6</f>
        <v>857.14285714285711</v>
      </c>
    </row>
    <row r="511" spans="1:13" x14ac:dyDescent="0.25">
      <c r="A511" s="9" t="s">
        <v>438</v>
      </c>
      <c r="B511" s="26" t="s">
        <v>439</v>
      </c>
      <c r="C511" s="26"/>
      <c r="D511" s="26"/>
      <c r="E511" s="9">
        <v>0.35</v>
      </c>
      <c r="F511" s="9"/>
      <c r="G511" s="1">
        <f>((Fórmulas!C$7/Fórmulas!D$7)/Fórmulas!E$7)*E511</f>
        <v>1</v>
      </c>
      <c r="H511" s="1">
        <f>G511*Fórmulas!B$9</f>
        <v>350</v>
      </c>
      <c r="I511" s="7">
        <f>E511/Fórmulas!E$7</f>
        <v>0.58333333333333337</v>
      </c>
      <c r="J511" s="17">
        <f>G511*Fórmulas!B$10</f>
        <v>600</v>
      </c>
      <c r="K511" s="1">
        <v>1</v>
      </c>
      <c r="L511" s="1">
        <f>((Fórmulas!C$6/Fórmulas!D$6)/0.7)*K511</f>
        <v>2.4489795918367347</v>
      </c>
      <c r="M511" s="1">
        <f>L511*Fórmulas!D$6</f>
        <v>857.14285714285711</v>
      </c>
    </row>
    <row r="512" spans="1:13" x14ac:dyDescent="0.25">
      <c r="A512" s="11"/>
      <c r="B512" s="26"/>
      <c r="C512" s="26"/>
      <c r="D512" s="26"/>
      <c r="E512" s="11"/>
      <c r="F512" s="11"/>
      <c r="G512" s="1">
        <f>((Fórmulas!C$7/Fórmulas!D$7)/Fórmulas!E$7)*E512</f>
        <v>0</v>
      </c>
      <c r="H512" s="1">
        <f>G512*Fórmulas!B$9</f>
        <v>0</v>
      </c>
      <c r="I512" s="7">
        <f>E512/Fórmulas!E$7</f>
        <v>0</v>
      </c>
      <c r="J512" s="17">
        <f>G512*Fórmulas!B$10</f>
        <v>0</v>
      </c>
      <c r="K512" s="1"/>
      <c r="L512" s="1"/>
      <c r="M512" s="1"/>
    </row>
    <row r="513" spans="1:13" x14ac:dyDescent="0.25">
      <c r="A513" s="9"/>
      <c r="B513" s="26"/>
      <c r="C513" s="26"/>
      <c r="D513" s="26"/>
      <c r="E513" s="9"/>
      <c r="F513" s="9"/>
      <c r="G513" s="1">
        <f>((Fórmulas!C$7/Fórmulas!D$7)/Fórmulas!E$7)*E513</f>
        <v>0</v>
      </c>
      <c r="H513" s="1">
        <f>G513*Fórmulas!B$9</f>
        <v>0</v>
      </c>
      <c r="I513" s="7">
        <f>E513/Fórmulas!E$7</f>
        <v>0</v>
      </c>
      <c r="J513" s="17">
        <f>G513*Fórmulas!B$10</f>
        <v>0</v>
      </c>
      <c r="K513" s="1"/>
      <c r="L513" s="1"/>
      <c r="M513" s="1"/>
    </row>
    <row r="514" spans="1:13" x14ac:dyDescent="0.25">
      <c r="A514" s="9"/>
      <c r="B514" s="26"/>
      <c r="C514" s="26"/>
      <c r="D514" s="26"/>
      <c r="E514" s="9"/>
      <c r="F514" s="9"/>
      <c r="G514" s="1">
        <f>((Fórmulas!C$7/Fórmulas!D$7)/Fórmulas!E$7)*E514</f>
        <v>0</v>
      </c>
      <c r="H514" s="1">
        <f>G514*Fórmulas!B$9</f>
        <v>0</v>
      </c>
      <c r="I514" s="7">
        <f>E514/Fórmulas!E$7</f>
        <v>0</v>
      </c>
      <c r="J514" s="17">
        <f>G514*Fórmulas!B$10</f>
        <v>0</v>
      </c>
      <c r="K514" s="1"/>
      <c r="L514" s="1"/>
      <c r="M514" s="1"/>
    </row>
    <row r="515" spans="1:13" x14ac:dyDescent="0.25">
      <c r="A515" s="11"/>
      <c r="B515" s="26"/>
      <c r="C515" s="26"/>
      <c r="D515" s="26"/>
      <c r="E515" s="11"/>
      <c r="F515" s="11"/>
      <c r="G515" s="1">
        <f>((Fórmulas!C$7/Fórmulas!D$7)/Fórmulas!E$7)*E515</f>
        <v>0</v>
      </c>
      <c r="H515" s="1">
        <f>G515*Fórmulas!B$9</f>
        <v>0</v>
      </c>
      <c r="I515" s="7">
        <f>E515/Fórmulas!E$7</f>
        <v>0</v>
      </c>
      <c r="J515" s="17">
        <f>G515*Fórmulas!B$10</f>
        <v>0</v>
      </c>
      <c r="K515" s="1"/>
      <c r="L515" s="1"/>
      <c r="M515" s="1"/>
    </row>
    <row r="516" spans="1:13" x14ac:dyDescent="0.25">
      <c r="A516" s="11"/>
      <c r="B516" s="26"/>
      <c r="C516" s="26"/>
      <c r="D516" s="26"/>
      <c r="E516" s="11"/>
      <c r="F516" s="11"/>
      <c r="G516" s="1">
        <f>((Fórmulas!C$7/Fórmulas!D$7)/Fórmulas!E$7)*E516</f>
        <v>0</v>
      </c>
      <c r="H516" s="1">
        <f>G516*Fórmulas!B$9</f>
        <v>0</v>
      </c>
      <c r="I516" s="7">
        <f>E516/Fórmulas!E$7</f>
        <v>0</v>
      </c>
      <c r="J516" s="17">
        <f>G516*Fórmulas!B$10</f>
        <v>0</v>
      </c>
      <c r="K516" s="1"/>
      <c r="L516" s="1"/>
      <c r="M516" s="1"/>
    </row>
    <row r="517" spans="1:13" x14ac:dyDescent="0.25">
      <c r="A517" s="11"/>
      <c r="B517" s="28" t="s">
        <v>383</v>
      </c>
      <c r="C517" s="28"/>
      <c r="D517" s="28"/>
      <c r="E517" s="11"/>
      <c r="F517" s="11"/>
      <c r="G517" s="1">
        <f>((Fórmulas!C$7/Fórmulas!D$7)/Fórmulas!E$7)*E517</f>
        <v>0</v>
      </c>
      <c r="H517" s="1">
        <f>G517*Fórmulas!B$9</f>
        <v>0</v>
      </c>
      <c r="I517" s="7">
        <f>E517/Fórmulas!E$7</f>
        <v>0</v>
      </c>
      <c r="J517" s="17">
        <f>G517*Fórmulas!B$10</f>
        <v>0</v>
      </c>
      <c r="K517" s="1"/>
      <c r="L517" s="1"/>
      <c r="M517" s="1"/>
    </row>
    <row r="518" spans="1:13" x14ac:dyDescent="0.25">
      <c r="A518" s="9" t="s">
        <v>552</v>
      </c>
      <c r="B518" s="25" t="s">
        <v>553</v>
      </c>
      <c r="C518" s="25"/>
      <c r="D518" s="25"/>
      <c r="E518" s="11">
        <v>2.4</v>
      </c>
      <c r="F518" s="11"/>
      <c r="G518" s="1">
        <f>((Fórmulas!C$7/Fórmulas!D$7)/Fórmulas!E$7)*E518</f>
        <v>6.8571428571428568</v>
      </c>
      <c r="H518" s="1">
        <f>G518*Fórmulas!B$9</f>
        <v>2400</v>
      </c>
      <c r="I518" s="7">
        <f>E518/Fórmulas!E$7</f>
        <v>4</v>
      </c>
      <c r="J518" s="17">
        <f>G518*Fórmulas!B$10</f>
        <v>4114.2857142857138</v>
      </c>
      <c r="K518" s="1">
        <v>1</v>
      </c>
      <c r="L518" s="1">
        <f>((Fórmulas!C$6/Fórmulas!D$6)/0.7)*K518</f>
        <v>2.4489795918367347</v>
      </c>
      <c r="M518" s="1">
        <f>L518*Fórmulas!D$6</f>
        <v>857.14285714285711</v>
      </c>
    </row>
    <row r="519" spans="1:13" x14ac:dyDescent="0.25">
      <c r="A519" s="9" t="s">
        <v>552</v>
      </c>
      <c r="B519" s="25" t="s">
        <v>554</v>
      </c>
      <c r="C519" s="25"/>
      <c r="D519" s="25"/>
      <c r="E519" s="11">
        <v>1.8</v>
      </c>
      <c r="F519" s="11"/>
      <c r="G519" s="1">
        <f>((Fórmulas!C$7/Fórmulas!D$7)/Fórmulas!E$7)*E519</f>
        <v>5.1428571428571432</v>
      </c>
      <c r="H519" s="1">
        <f>G519*Fórmulas!B$9</f>
        <v>1800.0000000000002</v>
      </c>
      <c r="I519" s="7">
        <f>E519/Fórmulas!E$7</f>
        <v>3</v>
      </c>
      <c r="J519" s="17">
        <f>G519*Fórmulas!B$10</f>
        <v>3085.7142857142858</v>
      </c>
      <c r="K519" s="1">
        <v>1</v>
      </c>
      <c r="L519" s="1">
        <f>((Fórmulas!C$6/Fórmulas!D$6)/0.7)*K519</f>
        <v>2.4489795918367347</v>
      </c>
      <c r="M519" s="1">
        <f>L519*Fórmulas!D$6</f>
        <v>857.14285714285711</v>
      </c>
    </row>
    <row r="520" spans="1:13" x14ac:dyDescent="0.25">
      <c r="A520" s="9" t="s">
        <v>552</v>
      </c>
      <c r="B520" s="25" t="s">
        <v>555</v>
      </c>
      <c r="C520" s="25"/>
      <c r="D520" s="25"/>
      <c r="E520" s="11">
        <v>2.4</v>
      </c>
      <c r="F520" s="11"/>
      <c r="G520" s="1">
        <f>((Fórmulas!C$7/Fórmulas!D$7)/Fórmulas!E$7)*E520</f>
        <v>6.8571428571428568</v>
      </c>
      <c r="H520" s="1">
        <f>G520*Fórmulas!B$9</f>
        <v>2400</v>
      </c>
      <c r="I520" s="7">
        <f>E520/Fórmulas!E$7</f>
        <v>4</v>
      </c>
      <c r="J520" s="17">
        <f>G520*Fórmulas!B$10</f>
        <v>4114.2857142857138</v>
      </c>
      <c r="K520" s="1">
        <v>1</v>
      </c>
      <c r="L520" s="1">
        <f>((Fórmulas!C$6/Fórmulas!D$6)/0.7)*K520</f>
        <v>2.4489795918367347</v>
      </c>
      <c r="M520" s="1">
        <f>L520*Fórmulas!D$6</f>
        <v>857.14285714285711</v>
      </c>
    </row>
    <row r="521" spans="1:13" x14ac:dyDescent="0.25">
      <c r="A521" s="9" t="s">
        <v>552</v>
      </c>
      <c r="B521" s="25" t="s">
        <v>556</v>
      </c>
      <c r="C521" s="25"/>
      <c r="D521" s="25"/>
      <c r="E521" s="11">
        <v>1.8</v>
      </c>
      <c r="F521" s="11"/>
      <c r="G521" s="1">
        <f>((Fórmulas!C$7/Fórmulas!D$7)/Fórmulas!E$7)*E521</f>
        <v>5.1428571428571432</v>
      </c>
      <c r="H521" s="1">
        <f>G521*Fórmulas!B$9</f>
        <v>1800.0000000000002</v>
      </c>
      <c r="I521" s="7">
        <f>E521/Fórmulas!E$7</f>
        <v>3</v>
      </c>
      <c r="J521" s="17">
        <f>G521*Fórmulas!B$10</f>
        <v>3085.7142857142858</v>
      </c>
      <c r="K521" s="1">
        <v>1</v>
      </c>
      <c r="L521" s="1">
        <f>((Fórmulas!C$6/Fórmulas!D$6)/0.7)*K521</f>
        <v>2.4489795918367347</v>
      </c>
      <c r="M521" s="1">
        <f>L521*Fórmulas!D$6</f>
        <v>857.14285714285711</v>
      </c>
    </row>
    <row r="522" spans="1:13" x14ac:dyDescent="0.25">
      <c r="A522" s="9" t="s">
        <v>552</v>
      </c>
      <c r="B522" s="25" t="s">
        <v>557</v>
      </c>
      <c r="C522" s="25"/>
      <c r="D522" s="25"/>
      <c r="E522" s="11">
        <v>2.1</v>
      </c>
      <c r="F522" s="11"/>
      <c r="G522" s="1">
        <f>((Fórmulas!C$7/Fórmulas!D$7)/Fórmulas!E$7)*E522</f>
        <v>6</v>
      </c>
      <c r="H522" s="1">
        <f>G522*Fórmulas!B$9</f>
        <v>2100</v>
      </c>
      <c r="I522" s="7">
        <f>E522/Fórmulas!E$7</f>
        <v>3.5000000000000004</v>
      </c>
      <c r="J522" s="17">
        <f>G522*Fórmulas!B$10</f>
        <v>3600</v>
      </c>
      <c r="K522" s="1">
        <v>1</v>
      </c>
      <c r="L522" s="1">
        <f>((Fórmulas!C$6/Fórmulas!D$6)/0.7)*K522</f>
        <v>2.4489795918367347</v>
      </c>
      <c r="M522" s="1">
        <f>L522*Fórmulas!D$6</f>
        <v>857.14285714285711</v>
      </c>
    </row>
    <row r="523" spans="1:13" x14ac:dyDescent="0.25">
      <c r="A523" s="9" t="s">
        <v>552</v>
      </c>
      <c r="B523" s="25" t="s">
        <v>558</v>
      </c>
      <c r="C523" s="25"/>
      <c r="D523" s="25"/>
      <c r="E523" s="11">
        <v>2.1</v>
      </c>
      <c r="F523" s="11"/>
      <c r="G523" s="1">
        <f>((Fórmulas!C$7/Fórmulas!D$7)/Fórmulas!E$7)*E523</f>
        <v>6</v>
      </c>
      <c r="H523" s="1">
        <f>G523*Fórmulas!B$9</f>
        <v>2100</v>
      </c>
      <c r="I523" s="7">
        <f>E523/Fórmulas!E$7</f>
        <v>3.5000000000000004</v>
      </c>
      <c r="J523" s="17">
        <f>G523*Fórmulas!B$10</f>
        <v>3600</v>
      </c>
      <c r="K523" s="1">
        <v>1</v>
      </c>
      <c r="L523" s="1">
        <f>((Fórmulas!C$6/Fórmulas!D$6)/0.7)*K523</f>
        <v>2.4489795918367347</v>
      </c>
      <c r="M523" s="1">
        <f>L523*Fórmulas!D$6</f>
        <v>857.14285714285711</v>
      </c>
    </row>
    <row r="524" spans="1:13" x14ac:dyDescent="0.25">
      <c r="A524" s="9" t="s">
        <v>552</v>
      </c>
      <c r="B524" s="25" t="s">
        <v>559</v>
      </c>
      <c r="C524" s="25"/>
      <c r="D524" s="25"/>
      <c r="E524" s="11">
        <v>3</v>
      </c>
      <c r="F524" s="11"/>
      <c r="G524" s="1">
        <f>((Fórmulas!C$7/Fórmulas!D$7)/Fórmulas!E$7)*E524</f>
        <v>8.5714285714285712</v>
      </c>
      <c r="H524" s="1">
        <f>G524*Fórmulas!B$9</f>
        <v>3000</v>
      </c>
      <c r="I524" s="7">
        <f>E524/Fórmulas!E$7</f>
        <v>5</v>
      </c>
      <c r="J524" s="17">
        <f>G524*Fórmulas!B$10</f>
        <v>5142.8571428571431</v>
      </c>
      <c r="K524" s="1">
        <v>1</v>
      </c>
      <c r="L524" s="1">
        <f>((Fórmulas!C$6/Fórmulas!D$6)/0.7)*K524</f>
        <v>2.4489795918367347</v>
      </c>
      <c r="M524" s="1">
        <f>L524*Fórmulas!D$6</f>
        <v>857.14285714285711</v>
      </c>
    </row>
    <row r="525" spans="1:13" x14ac:dyDescent="0.25">
      <c r="A525" s="9" t="s">
        <v>560</v>
      </c>
      <c r="B525" s="25" t="s">
        <v>561</v>
      </c>
      <c r="C525" s="25"/>
      <c r="D525" s="25"/>
      <c r="E525" s="11">
        <v>3</v>
      </c>
      <c r="F525" s="11"/>
      <c r="G525" s="1">
        <f>((Fórmulas!C$7/Fórmulas!D$7)/Fórmulas!E$7)*E525</f>
        <v>8.5714285714285712</v>
      </c>
      <c r="H525" s="1">
        <f>G525*Fórmulas!B$9</f>
        <v>3000</v>
      </c>
      <c r="I525" s="7">
        <f>E525/Fórmulas!E$7</f>
        <v>5</v>
      </c>
      <c r="J525" s="17">
        <f>G525*Fórmulas!B$10</f>
        <v>5142.8571428571431</v>
      </c>
      <c r="K525" s="1">
        <v>1</v>
      </c>
      <c r="L525" s="1">
        <f>((Fórmulas!C$6/Fórmulas!D$6)/0.7)*K525</f>
        <v>2.4489795918367347</v>
      </c>
      <c r="M525" s="1">
        <f>L525*Fórmulas!D$6</f>
        <v>857.14285714285711</v>
      </c>
    </row>
    <row r="526" spans="1:13" x14ac:dyDescent="0.25">
      <c r="A526" s="9" t="s">
        <v>560</v>
      </c>
      <c r="B526" s="25" t="s">
        <v>562</v>
      </c>
      <c r="C526" s="25"/>
      <c r="D526" s="25"/>
      <c r="E526" s="11">
        <v>3</v>
      </c>
      <c r="F526" s="11"/>
      <c r="G526" s="1">
        <f>((Fórmulas!C$7/Fórmulas!D$7)/Fórmulas!E$7)*E526</f>
        <v>8.5714285714285712</v>
      </c>
      <c r="H526" s="1">
        <f>G526*Fórmulas!B$9</f>
        <v>3000</v>
      </c>
      <c r="I526" s="7">
        <f>E526/Fórmulas!E$7</f>
        <v>5</v>
      </c>
      <c r="J526" s="17">
        <f>G526*Fórmulas!B$10</f>
        <v>5142.8571428571431</v>
      </c>
      <c r="K526" s="1">
        <v>1</v>
      </c>
      <c r="L526" s="1">
        <f>((Fórmulas!C$6/Fórmulas!D$6)/0.7)*K526</f>
        <v>2.4489795918367347</v>
      </c>
      <c r="M526" s="1">
        <f>L526*Fórmulas!D$6</f>
        <v>857.14285714285711</v>
      </c>
    </row>
    <row r="527" spans="1:13" x14ac:dyDescent="0.25">
      <c r="A527" s="11" t="s">
        <v>560</v>
      </c>
      <c r="B527" s="25" t="s">
        <v>563</v>
      </c>
      <c r="C527" s="25"/>
      <c r="D527" s="25"/>
      <c r="E527" s="11">
        <v>2.1</v>
      </c>
      <c r="F527" s="11"/>
      <c r="G527" s="1">
        <f>((Fórmulas!C$7/Fórmulas!D$7)/Fórmulas!E$7)*E527</f>
        <v>6</v>
      </c>
      <c r="H527" s="1">
        <f>G527*Fórmulas!B$9</f>
        <v>2100</v>
      </c>
      <c r="I527" s="7">
        <f>E527/Fórmulas!E$7</f>
        <v>3.5000000000000004</v>
      </c>
      <c r="J527" s="17">
        <f>G527*Fórmulas!B$10</f>
        <v>3600</v>
      </c>
      <c r="K527" s="1">
        <v>1</v>
      </c>
      <c r="L527" s="1">
        <f>((Fórmulas!C$6/Fórmulas!D$6)/0.7)*K527</f>
        <v>2.4489795918367347</v>
      </c>
      <c r="M527" s="1">
        <f>L527*Fórmulas!D$6</f>
        <v>857.14285714285711</v>
      </c>
    </row>
    <row r="528" spans="1:13" x14ac:dyDescent="0.25">
      <c r="A528" s="9"/>
      <c r="B528" s="26"/>
      <c r="C528" s="26"/>
      <c r="D528" s="26"/>
      <c r="E528" s="9">
        <v>0</v>
      </c>
      <c r="F528" s="9"/>
      <c r="G528" s="1">
        <f>((Fórmulas!C$7/Fórmulas!D$7)/Fórmulas!E$7)*E528</f>
        <v>0</v>
      </c>
      <c r="H528" s="1">
        <f>G528*Fórmulas!B$9</f>
        <v>0</v>
      </c>
      <c r="I528" s="7">
        <f>E528/Fórmulas!E$7</f>
        <v>0</v>
      </c>
      <c r="J528" s="17">
        <f>G528*Fórmulas!B$10</f>
        <v>0</v>
      </c>
      <c r="K528" s="1">
        <v>1</v>
      </c>
      <c r="L528" s="1">
        <f>((Fórmulas!C$6/Fórmulas!D$6)/0.7)*K528</f>
        <v>2.4489795918367347</v>
      </c>
      <c r="M528" s="1">
        <f>L528*Fórmulas!D$6</f>
        <v>857.14285714285711</v>
      </c>
    </row>
    <row r="529" spans="1:13" x14ac:dyDescent="0.25">
      <c r="A529" s="9"/>
      <c r="B529" s="26"/>
      <c r="C529" s="26"/>
      <c r="D529" s="26"/>
      <c r="E529" s="9">
        <v>0</v>
      </c>
      <c r="F529" s="9"/>
      <c r="G529" s="1">
        <f>((Fórmulas!C$7/Fórmulas!D$7)/Fórmulas!E$7)*E529</f>
        <v>0</v>
      </c>
      <c r="H529" s="1">
        <f>G529*Fórmulas!B$9</f>
        <v>0</v>
      </c>
      <c r="I529" s="7">
        <f>E529/Fórmulas!E$7</f>
        <v>0</v>
      </c>
      <c r="J529" s="17">
        <f>G529*Fórmulas!B$10</f>
        <v>0</v>
      </c>
      <c r="K529" s="1">
        <v>1</v>
      </c>
      <c r="L529" s="1">
        <f>((Fórmulas!C$6/Fórmulas!D$6)/0.7)*K529</f>
        <v>2.4489795918367347</v>
      </c>
      <c r="M529" s="1">
        <f>L529*Fórmulas!D$6</f>
        <v>857.14285714285711</v>
      </c>
    </row>
    <row r="530" spans="1:13" x14ac:dyDescent="0.25">
      <c r="A530" s="9"/>
      <c r="B530" s="26"/>
      <c r="C530" s="26"/>
      <c r="D530" s="26"/>
      <c r="E530" s="9">
        <v>0</v>
      </c>
      <c r="F530" s="9"/>
      <c r="G530" s="1">
        <f>((Fórmulas!C$7/Fórmulas!D$7)/Fórmulas!E$7)*E530</f>
        <v>0</v>
      </c>
      <c r="H530" s="1">
        <f>G530*Fórmulas!B$9</f>
        <v>0</v>
      </c>
      <c r="I530" s="7">
        <f>E530/Fórmulas!E$7</f>
        <v>0</v>
      </c>
      <c r="J530" s="17">
        <f>G530*Fórmulas!B$10</f>
        <v>0</v>
      </c>
      <c r="K530" s="1">
        <v>1</v>
      </c>
      <c r="L530" s="1">
        <f>((Fórmulas!C$6/Fórmulas!D$6)/0.7)*K530</f>
        <v>2.4489795918367347</v>
      </c>
      <c r="M530" s="1">
        <f>L530*Fórmulas!D$6</f>
        <v>857.14285714285711</v>
      </c>
    </row>
    <row r="531" spans="1:13" x14ac:dyDescent="0.25">
      <c r="A531" s="9"/>
      <c r="B531" s="26"/>
      <c r="C531" s="26"/>
      <c r="D531" s="26"/>
      <c r="E531" s="9">
        <v>0</v>
      </c>
      <c r="F531" s="9"/>
      <c r="G531" s="1">
        <f>((Fórmulas!C$7/Fórmulas!D$7)/Fórmulas!E$7)*E531</f>
        <v>0</v>
      </c>
      <c r="H531" s="1">
        <f>G531*Fórmulas!B$9</f>
        <v>0</v>
      </c>
      <c r="I531" s="7">
        <f>E531/Fórmulas!E$7</f>
        <v>0</v>
      </c>
      <c r="J531" s="17">
        <f>G531*Fórmulas!B$10</f>
        <v>0</v>
      </c>
      <c r="K531" s="1">
        <v>1</v>
      </c>
      <c r="L531" s="1">
        <f>((Fórmulas!C$6/Fórmulas!D$6)/0.7)*K531</f>
        <v>2.4489795918367347</v>
      </c>
      <c r="M531" s="1">
        <f>L531*Fórmulas!D$6</f>
        <v>857.14285714285711</v>
      </c>
    </row>
    <row r="532" spans="1:13" x14ac:dyDescent="0.25">
      <c r="A532" s="9"/>
      <c r="B532" s="26"/>
      <c r="C532" s="26"/>
      <c r="D532" s="26"/>
      <c r="E532" s="9">
        <v>0</v>
      </c>
      <c r="F532" s="9"/>
      <c r="G532" s="1">
        <f>((Fórmulas!C$7/Fórmulas!D$7)/Fórmulas!E$7)*E532</f>
        <v>0</v>
      </c>
      <c r="H532" s="1">
        <f>G532*Fórmulas!B$9</f>
        <v>0</v>
      </c>
      <c r="I532" s="7">
        <f>E532/Fórmulas!E$7</f>
        <v>0</v>
      </c>
      <c r="J532" s="17">
        <f>G532*Fórmulas!B$10</f>
        <v>0</v>
      </c>
      <c r="K532" s="1">
        <v>1</v>
      </c>
      <c r="L532" s="1">
        <f>((Fórmulas!C$6/Fórmulas!D$6)/0.7)*K532</f>
        <v>2.4489795918367347</v>
      </c>
      <c r="M532" s="1">
        <f>L532*Fórmulas!D$6</f>
        <v>857.14285714285711</v>
      </c>
    </row>
    <row r="533" spans="1:13" x14ac:dyDescent="0.25">
      <c r="A533" s="9" t="s">
        <v>433</v>
      </c>
      <c r="B533" s="26"/>
      <c r="C533" s="26"/>
      <c r="D533" s="26"/>
      <c r="E533" s="9">
        <v>0</v>
      </c>
      <c r="F533" s="9"/>
      <c r="G533" s="1">
        <f>((Fórmulas!C$7/Fórmulas!D$7)/Fórmulas!E$7)*E533</f>
        <v>0</v>
      </c>
      <c r="H533" s="1">
        <f>G533*Fórmulas!B$9</f>
        <v>0</v>
      </c>
      <c r="I533" s="7">
        <f>E533/Fórmulas!E$7</f>
        <v>0</v>
      </c>
      <c r="J533" s="17">
        <f>G533*Fórmulas!B$10</f>
        <v>0</v>
      </c>
      <c r="K533" s="1">
        <v>1</v>
      </c>
      <c r="L533" s="1">
        <f>((Fórmulas!C$6/Fórmulas!D$6)/0.7)*K533</f>
        <v>2.4489795918367347</v>
      </c>
      <c r="M533" s="1">
        <f>L533*Fórmulas!D$6</f>
        <v>857.14285714285711</v>
      </c>
    </row>
    <row r="534" spans="1:13" x14ac:dyDescent="0.25">
      <c r="A534" s="9" t="s">
        <v>433</v>
      </c>
      <c r="B534" s="26"/>
      <c r="C534" s="26"/>
      <c r="D534" s="26"/>
      <c r="E534" s="9">
        <v>0</v>
      </c>
      <c r="F534" s="9"/>
      <c r="G534" s="1">
        <f>((Fórmulas!C$7/Fórmulas!D$7)/Fórmulas!E$7)*E534</f>
        <v>0</v>
      </c>
      <c r="H534" s="1">
        <f>G534*Fórmulas!B$9</f>
        <v>0</v>
      </c>
      <c r="I534" s="7">
        <f>E534/Fórmulas!E$7</f>
        <v>0</v>
      </c>
      <c r="J534" s="17">
        <f>G534*Fórmulas!B$10</f>
        <v>0</v>
      </c>
      <c r="K534" s="1">
        <v>1</v>
      </c>
      <c r="L534" s="1">
        <f>((Fórmulas!C$6/Fórmulas!D$6)/0.7)*K534</f>
        <v>2.4489795918367347</v>
      </c>
      <c r="M534" s="1">
        <f>L534*Fórmulas!D$6</f>
        <v>857.14285714285711</v>
      </c>
    </row>
    <row r="535" spans="1:13" x14ac:dyDescent="0.25">
      <c r="A535" s="9" t="s">
        <v>433</v>
      </c>
      <c r="B535" s="26"/>
      <c r="C535" s="26"/>
      <c r="D535" s="26"/>
      <c r="E535" s="9">
        <v>0</v>
      </c>
      <c r="F535" s="9"/>
      <c r="G535" s="1">
        <f>((Fórmulas!C$7/Fórmulas!D$7)/Fórmulas!E$7)*E535</f>
        <v>0</v>
      </c>
      <c r="H535" s="1">
        <f>G535*Fórmulas!B$9</f>
        <v>0</v>
      </c>
      <c r="I535" s="7">
        <f>E535/Fórmulas!E$7</f>
        <v>0</v>
      </c>
      <c r="J535" s="17">
        <f>G535*Fórmulas!B$10</f>
        <v>0</v>
      </c>
      <c r="K535" s="1">
        <v>1</v>
      </c>
      <c r="L535" s="1">
        <f>((Fórmulas!C$6/Fórmulas!D$6)/0.7)*K535</f>
        <v>2.4489795918367347</v>
      </c>
      <c r="M535" s="1">
        <f>L535*Fórmulas!D$6</f>
        <v>857.14285714285711</v>
      </c>
    </row>
    <row r="536" spans="1:13" x14ac:dyDescent="0.25">
      <c r="A536" s="9" t="s">
        <v>433</v>
      </c>
      <c r="B536" s="26" t="s">
        <v>435</v>
      </c>
      <c r="C536" s="26"/>
      <c r="D536" s="26"/>
      <c r="E536" s="9">
        <v>2</v>
      </c>
      <c r="F536" s="9"/>
      <c r="G536" s="1">
        <f>((Fórmulas!C$7/Fórmulas!D$7)/Fórmulas!E$7)*E536</f>
        <v>5.7142857142857144</v>
      </c>
      <c r="H536" s="1">
        <f>G536*Fórmulas!B$9</f>
        <v>2000</v>
      </c>
      <c r="I536" s="7">
        <f>E536/Fórmulas!E$7</f>
        <v>3.3333333333333335</v>
      </c>
      <c r="J536" s="17">
        <f>G536*Fórmulas!B$10</f>
        <v>3428.5714285714284</v>
      </c>
      <c r="K536" s="1">
        <v>1</v>
      </c>
      <c r="L536" s="1">
        <f>((Fórmulas!C$6/Fórmulas!D$6)/0.7)*K536</f>
        <v>2.4489795918367347</v>
      </c>
      <c r="M536" s="1">
        <f>L536*Fórmulas!D$6</f>
        <v>857.14285714285711</v>
      </c>
    </row>
    <row r="537" spans="1:13" x14ac:dyDescent="0.25">
      <c r="A537" s="9" t="s">
        <v>433</v>
      </c>
      <c r="B537" s="26" t="s">
        <v>434</v>
      </c>
      <c r="C537" s="26"/>
      <c r="D537" s="26"/>
      <c r="E537" s="9">
        <v>1.8</v>
      </c>
      <c r="F537" s="9"/>
      <c r="G537" s="1">
        <f>((Fórmulas!C$7/Fórmulas!D$7)/Fórmulas!E$7)*E537</f>
        <v>5.1428571428571432</v>
      </c>
      <c r="H537" s="1">
        <f>G537*Fórmulas!B$9</f>
        <v>1800.0000000000002</v>
      </c>
      <c r="I537" s="7">
        <f>E537/Fórmulas!E$7</f>
        <v>3</v>
      </c>
      <c r="J537" s="17">
        <f>G537*Fórmulas!B$10</f>
        <v>3085.7142857142858</v>
      </c>
      <c r="K537" s="1">
        <v>1</v>
      </c>
      <c r="L537" s="1">
        <f>((Fórmulas!C$6/Fórmulas!D$6)/0.7)*K537</f>
        <v>2.4489795918367347</v>
      </c>
      <c r="M537" s="1">
        <f>L537*Fórmulas!D$6</f>
        <v>857.14285714285711</v>
      </c>
    </row>
    <row r="538" spans="1:13" x14ac:dyDescent="0.25">
      <c r="A538" s="9" t="s">
        <v>433</v>
      </c>
      <c r="B538" s="26" t="s">
        <v>436</v>
      </c>
      <c r="C538" s="26"/>
      <c r="D538" s="26"/>
      <c r="E538" s="9">
        <v>1.8</v>
      </c>
      <c r="F538" s="9"/>
      <c r="G538" s="1">
        <f>((Fórmulas!C$7/Fórmulas!D$7)/Fórmulas!E$7)*E538</f>
        <v>5.1428571428571432</v>
      </c>
      <c r="H538" s="1">
        <f>G538*Fórmulas!B$9</f>
        <v>1800.0000000000002</v>
      </c>
      <c r="I538" s="7">
        <f>E538/Fórmulas!E$7</f>
        <v>3</v>
      </c>
      <c r="J538" s="17">
        <f>G538*Fórmulas!B$10</f>
        <v>3085.7142857142858</v>
      </c>
      <c r="K538" s="1">
        <v>1</v>
      </c>
      <c r="L538" s="1">
        <f>((Fórmulas!C$6/Fórmulas!D$6)/0.7)*K538</f>
        <v>2.4489795918367347</v>
      </c>
      <c r="M538" s="1">
        <f>L538*Fórmulas!D$6</f>
        <v>857.14285714285711</v>
      </c>
    </row>
    <row r="539" spans="1:13" x14ac:dyDescent="0.25">
      <c r="A539" s="9" t="s">
        <v>433</v>
      </c>
      <c r="B539" s="25" t="s">
        <v>437</v>
      </c>
      <c r="C539" s="25"/>
      <c r="D539" s="25"/>
      <c r="E539" s="9">
        <v>2.4</v>
      </c>
      <c r="F539" s="9"/>
      <c r="G539" s="1">
        <f>((Fórmulas!C$7/Fórmulas!D$7)/Fórmulas!E$7)*E539</f>
        <v>6.8571428571428568</v>
      </c>
      <c r="H539" s="1">
        <f>G539*Fórmulas!B$9</f>
        <v>2400</v>
      </c>
      <c r="I539" s="7">
        <f>E539/Fórmulas!E$7</f>
        <v>4</v>
      </c>
      <c r="J539" s="17">
        <f>G539*Fórmulas!B$10</f>
        <v>4114.2857142857138</v>
      </c>
      <c r="K539" s="1">
        <v>1</v>
      </c>
      <c r="L539" s="1">
        <f>((Fórmulas!C$6/Fórmulas!D$6)/0.7)*K539</f>
        <v>2.4489795918367347</v>
      </c>
      <c r="M539" s="1">
        <f>L539*Fórmulas!D$6</f>
        <v>857.14285714285711</v>
      </c>
    </row>
    <row r="540" spans="1:13" x14ac:dyDescent="0.25">
      <c r="A540" s="9" t="s">
        <v>433</v>
      </c>
      <c r="B540" s="26"/>
      <c r="C540" s="26"/>
      <c r="D540" s="26"/>
      <c r="E540" s="9">
        <v>0</v>
      </c>
      <c r="F540" s="9"/>
      <c r="G540" s="1">
        <f>((Fórmulas!C$7/Fórmulas!D$7)/Fórmulas!E$7)*E540</f>
        <v>0</v>
      </c>
      <c r="H540" s="1">
        <f>G540*Fórmulas!B$9</f>
        <v>0</v>
      </c>
      <c r="I540" s="7">
        <f>E540/Fórmulas!E$7</f>
        <v>0</v>
      </c>
      <c r="J540" s="17">
        <f>G540*Fórmulas!B$10</f>
        <v>0</v>
      </c>
      <c r="K540" s="1">
        <v>1</v>
      </c>
      <c r="L540" s="1">
        <f>((Fórmulas!C$6/Fórmulas!D$6)/0.7)*K540</f>
        <v>2.4489795918367347</v>
      </c>
      <c r="M540" s="1">
        <f>L540*Fórmulas!D$6</f>
        <v>857.14285714285711</v>
      </c>
    </row>
    <row r="541" spans="1:13" x14ac:dyDescent="0.25">
      <c r="A541" s="9" t="s">
        <v>433</v>
      </c>
      <c r="B541" s="26"/>
      <c r="C541" s="26"/>
      <c r="D541" s="26"/>
      <c r="E541" s="9">
        <v>0</v>
      </c>
      <c r="F541" s="9"/>
      <c r="G541" s="1">
        <f>((Fórmulas!C$7/Fórmulas!D$7)/Fórmulas!E$7)*E541</f>
        <v>0</v>
      </c>
      <c r="H541" s="1">
        <f>G541*Fórmulas!B$9</f>
        <v>0</v>
      </c>
      <c r="I541" s="7">
        <f>E541/Fórmulas!E$7</f>
        <v>0</v>
      </c>
      <c r="J541" s="17">
        <f>G541*Fórmulas!B$10</f>
        <v>0</v>
      </c>
      <c r="K541" s="1">
        <v>1</v>
      </c>
      <c r="L541" s="1">
        <f>((Fórmulas!C$6/Fórmulas!D$6)/0.7)*K541</f>
        <v>2.4489795918367347</v>
      </c>
      <c r="M541" s="1">
        <f>L541*Fórmulas!D$6</f>
        <v>857.14285714285711</v>
      </c>
    </row>
    <row r="542" spans="1:13" x14ac:dyDescent="0.25">
      <c r="A542" s="9"/>
      <c r="B542" s="26"/>
      <c r="C542" s="26"/>
      <c r="D542" s="26"/>
      <c r="E542" s="9">
        <v>0</v>
      </c>
      <c r="F542" s="9"/>
      <c r="G542" s="1">
        <f>((Fórmulas!C$7/Fórmulas!D$7)/Fórmulas!E$7)*E542</f>
        <v>0</v>
      </c>
      <c r="H542" s="1">
        <f>G542*Fórmulas!B$9</f>
        <v>0</v>
      </c>
      <c r="I542" s="7">
        <f>E542/Fórmulas!E$7</f>
        <v>0</v>
      </c>
      <c r="J542" s="17">
        <f>G542*Fórmulas!B$10</f>
        <v>0</v>
      </c>
      <c r="K542" s="1">
        <v>1</v>
      </c>
      <c r="L542" s="1">
        <f>((Fórmulas!C$6/Fórmulas!D$6)/0.7)*K542</f>
        <v>2.4489795918367347</v>
      </c>
      <c r="M542" s="1">
        <f>L542*Fórmulas!D$6</f>
        <v>857.14285714285711</v>
      </c>
    </row>
    <row r="543" spans="1:13" x14ac:dyDescent="0.25">
      <c r="A543" s="9" t="s">
        <v>440</v>
      </c>
      <c r="B543" s="26" t="s">
        <v>441</v>
      </c>
      <c r="C543" s="26"/>
      <c r="D543" s="26"/>
      <c r="E543" s="9">
        <v>2.4</v>
      </c>
      <c r="F543" s="9"/>
      <c r="G543" s="1">
        <f>((Fórmulas!C$7/Fórmulas!D$7)/Fórmulas!E$7)*E543</f>
        <v>6.8571428571428568</v>
      </c>
      <c r="H543" s="1">
        <f>G543*Fórmulas!B$9</f>
        <v>2400</v>
      </c>
      <c r="I543" s="7">
        <f>E543/Fórmulas!E$7</f>
        <v>4</v>
      </c>
      <c r="J543" s="17">
        <f>G543*Fórmulas!B$10</f>
        <v>4114.2857142857138</v>
      </c>
      <c r="K543" s="1">
        <v>1</v>
      </c>
      <c r="L543" s="1">
        <f>((Fórmulas!C$6/Fórmulas!D$6)/0.7)*K543</f>
        <v>2.4489795918367347</v>
      </c>
      <c r="M543" s="1">
        <f>L543*Fórmulas!D$6</f>
        <v>857.14285714285711</v>
      </c>
    </row>
    <row r="544" spans="1:13" x14ac:dyDescent="0.25">
      <c r="A544" s="9" t="s">
        <v>440</v>
      </c>
      <c r="B544" s="26" t="s">
        <v>442</v>
      </c>
      <c r="C544" s="26"/>
      <c r="D544" s="26"/>
      <c r="E544" s="9">
        <v>2.4</v>
      </c>
      <c r="F544" s="9"/>
      <c r="G544" s="1">
        <f>((Fórmulas!C$7/Fórmulas!D$7)/Fórmulas!E$7)*E544</f>
        <v>6.8571428571428568</v>
      </c>
      <c r="H544" s="1">
        <f>G544*Fórmulas!B$9</f>
        <v>2400</v>
      </c>
      <c r="I544" s="7">
        <f>E544/Fórmulas!E$7</f>
        <v>4</v>
      </c>
      <c r="J544" s="17">
        <f>G544*Fórmulas!B$10</f>
        <v>4114.2857142857138</v>
      </c>
      <c r="K544" s="1">
        <v>1</v>
      </c>
      <c r="L544" s="1">
        <f>((Fórmulas!C$6/Fórmulas!D$6)/0.7)*K544</f>
        <v>2.4489795918367347</v>
      </c>
      <c r="M544" s="1">
        <f>L544*Fórmulas!D$6</f>
        <v>857.14285714285711</v>
      </c>
    </row>
    <row r="545" spans="1:13" x14ac:dyDescent="0.25">
      <c r="A545" s="9"/>
      <c r="B545" s="26"/>
      <c r="C545" s="26"/>
      <c r="D545" s="26"/>
      <c r="E545" s="9">
        <v>0</v>
      </c>
      <c r="F545" s="9"/>
      <c r="G545" s="1">
        <f>((Fórmulas!C$7/Fórmulas!D$7)/Fórmulas!E$7)*E545</f>
        <v>0</v>
      </c>
      <c r="H545" s="1">
        <f>G545*Fórmulas!B$9</f>
        <v>0</v>
      </c>
      <c r="I545" s="7">
        <f>E545/Fórmulas!E$7</f>
        <v>0</v>
      </c>
      <c r="J545" s="17">
        <f>G545*Fórmulas!B$10</f>
        <v>0</v>
      </c>
      <c r="K545" s="1">
        <v>1</v>
      </c>
      <c r="L545" s="1">
        <f>((Fórmulas!C$6/Fórmulas!D$6)/0.7)*K545</f>
        <v>2.4489795918367347</v>
      </c>
      <c r="M545" s="1">
        <f>L545*Fórmulas!D$6</f>
        <v>857.14285714285711</v>
      </c>
    </row>
    <row r="546" spans="1:13" x14ac:dyDescent="0.25">
      <c r="A546" s="9"/>
      <c r="B546" s="26"/>
      <c r="C546" s="26"/>
      <c r="D546" s="26"/>
      <c r="E546" s="9">
        <v>0</v>
      </c>
      <c r="F546" s="9"/>
      <c r="G546" s="1">
        <f>((Fórmulas!C$7/Fórmulas!D$7)/Fórmulas!E$7)*E546</f>
        <v>0</v>
      </c>
      <c r="H546" s="1">
        <f>G546*Fórmulas!B$9</f>
        <v>0</v>
      </c>
      <c r="I546" s="7">
        <f>E546/Fórmulas!E$7</f>
        <v>0</v>
      </c>
      <c r="J546" s="17">
        <f>G546*Fórmulas!B$10</f>
        <v>0</v>
      </c>
      <c r="K546" s="1">
        <v>1</v>
      </c>
      <c r="L546" s="1">
        <f>((Fórmulas!C$6/Fórmulas!D$6)/0.7)*K546</f>
        <v>2.4489795918367347</v>
      </c>
      <c r="M546" s="1">
        <f>L546*Fórmulas!D$6</f>
        <v>857.14285714285711</v>
      </c>
    </row>
    <row r="547" spans="1:13" x14ac:dyDescent="0.25">
      <c r="A547" s="9"/>
      <c r="B547" s="26"/>
      <c r="C547" s="26"/>
      <c r="D547" s="26"/>
      <c r="E547" s="9">
        <v>0</v>
      </c>
      <c r="F547" s="9"/>
      <c r="G547" s="1">
        <f>((Fórmulas!C$7/Fórmulas!D$7)/Fórmulas!E$7)*E547</f>
        <v>0</v>
      </c>
      <c r="H547" s="1">
        <f>G547*Fórmulas!B$9</f>
        <v>0</v>
      </c>
      <c r="I547" s="7">
        <f>E547/Fórmulas!E$7</f>
        <v>0</v>
      </c>
      <c r="J547" s="17">
        <f>G547*Fórmulas!B$10</f>
        <v>0</v>
      </c>
      <c r="K547" s="1">
        <v>1</v>
      </c>
      <c r="L547" s="1">
        <f>((Fórmulas!C$6/Fórmulas!D$6)/0.7)*K547</f>
        <v>2.4489795918367347</v>
      </c>
      <c r="M547" s="1">
        <f>L547*Fórmulas!D$6</f>
        <v>857.14285714285711</v>
      </c>
    </row>
    <row r="548" spans="1:13" x14ac:dyDescent="0.25">
      <c r="A548" s="9" t="s">
        <v>445</v>
      </c>
      <c r="B548" s="26" t="s">
        <v>446</v>
      </c>
      <c r="C548" s="26"/>
      <c r="D548" s="26"/>
      <c r="E548" s="9">
        <v>1.5</v>
      </c>
      <c r="F548" s="9"/>
      <c r="G548" s="1">
        <f>((Fórmulas!C$7/Fórmulas!D$7)/Fórmulas!E$7)*E548</f>
        <v>4.2857142857142856</v>
      </c>
      <c r="H548" s="1">
        <f>G548*Fórmulas!B$9</f>
        <v>1500</v>
      </c>
      <c r="I548" s="7">
        <f>E548/Fórmulas!E$7</f>
        <v>2.5</v>
      </c>
      <c r="J548" s="17">
        <f>G548*Fórmulas!B$10</f>
        <v>2571.4285714285716</v>
      </c>
      <c r="K548" s="1">
        <v>1</v>
      </c>
      <c r="L548" s="1">
        <f>((Fórmulas!C$6/Fórmulas!D$6)/0.7)*K548</f>
        <v>2.4489795918367347</v>
      </c>
      <c r="M548" s="1">
        <f>L548*Fórmulas!D$6</f>
        <v>857.14285714285711</v>
      </c>
    </row>
    <row r="549" spans="1:13" x14ac:dyDescent="0.25">
      <c r="A549" s="9" t="s">
        <v>445</v>
      </c>
      <c r="B549" s="26" t="s">
        <v>447</v>
      </c>
      <c r="C549" s="26"/>
      <c r="D549" s="26"/>
      <c r="E549" s="9">
        <v>1.8</v>
      </c>
      <c r="F549" s="9"/>
      <c r="G549" s="1">
        <f>((Fórmulas!C$7/Fórmulas!D$7)/Fórmulas!E$7)*E549</f>
        <v>5.1428571428571432</v>
      </c>
      <c r="H549" s="1">
        <f>G549*Fórmulas!B$9</f>
        <v>1800.0000000000002</v>
      </c>
      <c r="I549" s="7">
        <f>E549/Fórmulas!E$7</f>
        <v>3</v>
      </c>
      <c r="J549" s="17">
        <f>G549*Fórmulas!B$10</f>
        <v>3085.7142857142858</v>
      </c>
      <c r="K549" s="1">
        <v>1</v>
      </c>
      <c r="L549" s="1">
        <f>((Fórmulas!C$6/Fórmulas!D$6)/0.7)*K549</f>
        <v>2.4489795918367347</v>
      </c>
      <c r="M549" s="1">
        <f>L549*Fórmulas!D$6</f>
        <v>857.14285714285711</v>
      </c>
    </row>
    <row r="550" spans="1:13" x14ac:dyDescent="0.25">
      <c r="A550" s="9"/>
      <c r="B550" s="26"/>
      <c r="C550" s="26"/>
      <c r="D550" s="26"/>
      <c r="E550" s="9">
        <v>0</v>
      </c>
      <c r="F550" s="9"/>
      <c r="G550" s="1">
        <f>((Fórmulas!C$7/Fórmulas!D$7)/Fórmulas!E$7)*E550</f>
        <v>0</v>
      </c>
      <c r="H550" s="1">
        <f>G550*Fórmulas!B$9</f>
        <v>0</v>
      </c>
      <c r="I550" s="7">
        <f>E550/Fórmulas!E$7</f>
        <v>0</v>
      </c>
      <c r="J550" s="17">
        <f>G550*Fórmulas!B$10</f>
        <v>0</v>
      </c>
      <c r="K550" s="1">
        <v>1</v>
      </c>
      <c r="L550" s="1">
        <f>((Fórmulas!C$6/Fórmulas!D$6)/0.7)*K550</f>
        <v>2.4489795918367347</v>
      </c>
      <c r="M550" s="1">
        <f>L550*Fórmulas!D$6</f>
        <v>857.14285714285711</v>
      </c>
    </row>
    <row r="551" spans="1:13" x14ac:dyDescent="0.25">
      <c r="A551" s="9"/>
      <c r="B551" s="26"/>
      <c r="C551" s="26"/>
      <c r="D551" s="26"/>
      <c r="E551" s="11">
        <v>0</v>
      </c>
      <c r="F551" s="11"/>
      <c r="G551" s="1">
        <f>((Fórmulas!C$7/Fórmulas!D$7)/Fórmulas!E$7)*E551</f>
        <v>0</v>
      </c>
      <c r="H551" s="1">
        <f>G551*Fórmulas!B$9</f>
        <v>0</v>
      </c>
      <c r="I551" s="7">
        <f>E551/Fórmulas!E$7</f>
        <v>0</v>
      </c>
      <c r="J551" s="17">
        <f>G551*Fórmulas!B$10</f>
        <v>0</v>
      </c>
      <c r="K551" s="1">
        <v>1</v>
      </c>
      <c r="L551" s="1">
        <f>((Fórmulas!C$6/Fórmulas!D$6)/0.7)*K551</f>
        <v>2.4489795918367347</v>
      </c>
      <c r="M551" s="1">
        <f>L551*Fórmulas!D$6</f>
        <v>857.14285714285711</v>
      </c>
    </row>
    <row r="552" spans="1:13" x14ac:dyDescent="0.25">
      <c r="A552" s="11"/>
      <c r="B552" s="26"/>
      <c r="C552" s="26"/>
      <c r="D552" s="26"/>
      <c r="E552" s="11">
        <v>0</v>
      </c>
      <c r="F552" s="11"/>
      <c r="G552" s="1">
        <f>((Fórmulas!C$7/Fórmulas!D$7)/Fórmulas!E$7)*E552</f>
        <v>0</v>
      </c>
      <c r="H552" s="1">
        <f>G552*Fórmulas!B$9</f>
        <v>0</v>
      </c>
      <c r="I552" s="7">
        <f>E552/Fórmulas!E$7</f>
        <v>0</v>
      </c>
      <c r="J552" s="17">
        <f>G552*Fórmulas!B$10</f>
        <v>0</v>
      </c>
      <c r="K552" s="1">
        <v>1</v>
      </c>
      <c r="L552" s="1">
        <f>((Fórmulas!C$6/Fórmulas!D$6)/0.7)*K552</f>
        <v>2.4489795918367347</v>
      </c>
      <c r="M552" s="1">
        <f>L552*Fórmulas!D$6</f>
        <v>857.14285714285711</v>
      </c>
    </row>
    <row r="553" spans="1:13" x14ac:dyDescent="0.25">
      <c r="A553" s="11"/>
      <c r="B553" s="26"/>
      <c r="C553" s="26"/>
      <c r="D553" s="26"/>
      <c r="E553" s="11"/>
      <c r="F553" s="11"/>
      <c r="G553" s="1">
        <f>((Fórmulas!C$7/Fórmulas!D$7)/Fórmulas!E$7)*E553</f>
        <v>0</v>
      </c>
      <c r="H553" s="1">
        <f>G553*Fórmulas!B$9</f>
        <v>0</v>
      </c>
      <c r="I553" s="7">
        <f>E553/Fórmulas!E$7</f>
        <v>0</v>
      </c>
      <c r="J553" s="17">
        <f>G553*Fórmulas!B$10</f>
        <v>0</v>
      </c>
      <c r="K553" s="1"/>
      <c r="L553" s="1"/>
      <c r="M553" s="1"/>
    </row>
    <row r="554" spans="1:13" x14ac:dyDescent="0.25">
      <c r="A554" s="11" t="s">
        <v>566</v>
      </c>
      <c r="B554" s="26" t="s">
        <v>575</v>
      </c>
      <c r="C554" s="26"/>
      <c r="D554" s="26"/>
      <c r="E554" s="11">
        <v>1.2</v>
      </c>
      <c r="F554" s="11"/>
      <c r="G554" s="1">
        <f>((Fórmulas!C$7/Fórmulas!D$7)/Fórmulas!E$7)*E554</f>
        <v>3.4285714285714284</v>
      </c>
      <c r="H554" s="1">
        <f>G554*Fórmulas!B$9</f>
        <v>1200</v>
      </c>
      <c r="I554" s="7">
        <f>E554/Fórmulas!E$7</f>
        <v>2</v>
      </c>
      <c r="J554" s="17">
        <f>G554*Fórmulas!B$10</f>
        <v>2057.1428571428569</v>
      </c>
      <c r="K554" s="1">
        <v>1</v>
      </c>
      <c r="L554" s="1">
        <f>((Fórmulas!C$6/Fórmulas!D$6)/0.7)*K554</f>
        <v>2.4489795918367347</v>
      </c>
      <c r="M554" s="1">
        <f>L554*Fórmulas!D$6</f>
        <v>857.14285714285711</v>
      </c>
    </row>
    <row r="555" spans="1:13" x14ac:dyDescent="0.25">
      <c r="A555" s="11" t="s">
        <v>566</v>
      </c>
      <c r="B555" s="26" t="s">
        <v>567</v>
      </c>
      <c r="C555" s="26"/>
      <c r="D555" s="26"/>
      <c r="E555" s="11">
        <v>0.9</v>
      </c>
      <c r="F555" s="11"/>
      <c r="G555" s="1">
        <f>((Fórmulas!C$7/Fórmulas!D$7)/Fórmulas!E$7)*E555</f>
        <v>2.5714285714285716</v>
      </c>
      <c r="H555" s="1">
        <f>G555*Fórmulas!B$9</f>
        <v>900.00000000000011</v>
      </c>
      <c r="I555" s="7">
        <f>E555/Fórmulas!E$7</f>
        <v>1.5</v>
      </c>
      <c r="J555" s="17">
        <f>G555*Fórmulas!B$10</f>
        <v>1542.8571428571429</v>
      </c>
      <c r="K555" s="1">
        <v>1</v>
      </c>
      <c r="L555" s="1">
        <f>((Fórmulas!C$6/Fórmulas!D$6)/0.7)*K555</f>
        <v>2.4489795918367347</v>
      </c>
      <c r="M555" s="1">
        <f>L555*Fórmulas!D$6</f>
        <v>857.14285714285711</v>
      </c>
    </row>
    <row r="556" spans="1:13" x14ac:dyDescent="0.25">
      <c r="A556" s="11" t="s">
        <v>566</v>
      </c>
      <c r="B556" s="26" t="s">
        <v>568</v>
      </c>
      <c r="C556" s="26"/>
      <c r="D556" s="26"/>
      <c r="E556" s="11">
        <v>1.8</v>
      </c>
      <c r="F556" s="11"/>
      <c r="G556" s="1">
        <f>((Fórmulas!C$7/Fórmulas!D$7)/Fórmulas!E$7)*E556</f>
        <v>5.1428571428571432</v>
      </c>
      <c r="H556" s="1">
        <f>G556*Fórmulas!B$9</f>
        <v>1800.0000000000002</v>
      </c>
      <c r="I556" s="7">
        <f>E556/Fórmulas!E$7</f>
        <v>3</v>
      </c>
      <c r="J556" s="17">
        <f>G556*Fórmulas!B$10</f>
        <v>3085.7142857142858</v>
      </c>
      <c r="K556" s="1">
        <v>1</v>
      </c>
      <c r="L556" s="1">
        <f>((Fórmulas!C$6/Fórmulas!D$6)/0.7)*K556</f>
        <v>2.4489795918367347</v>
      </c>
      <c r="M556" s="1">
        <f>L556*Fórmulas!D$6</f>
        <v>857.14285714285711</v>
      </c>
    </row>
    <row r="557" spans="1:13" x14ac:dyDescent="0.25">
      <c r="A557" s="11" t="s">
        <v>566</v>
      </c>
      <c r="B557" s="26" t="s">
        <v>574</v>
      </c>
      <c r="C557" s="26"/>
      <c r="D557" s="26"/>
      <c r="E557" s="11">
        <v>0.9</v>
      </c>
      <c r="F557" s="11"/>
      <c r="G557" s="1">
        <f>((Fórmulas!C$7/Fórmulas!D$7)/Fórmulas!E$7)*E557</f>
        <v>2.5714285714285716</v>
      </c>
      <c r="H557" s="1">
        <f>G557*Fórmulas!B$9</f>
        <v>900.00000000000011</v>
      </c>
      <c r="I557" s="7">
        <f>E557/Fórmulas!E$7</f>
        <v>1.5</v>
      </c>
      <c r="J557" s="17">
        <f>G557*Fórmulas!B$10</f>
        <v>1542.8571428571429</v>
      </c>
      <c r="K557" s="1">
        <v>1</v>
      </c>
      <c r="L557" s="1">
        <f>((Fórmulas!C$6/Fórmulas!D$6)/0.7)*K557</f>
        <v>2.4489795918367347</v>
      </c>
      <c r="M557" s="1">
        <f>L557*Fórmulas!D$6</f>
        <v>857.14285714285711</v>
      </c>
    </row>
    <row r="558" spans="1:13" x14ac:dyDescent="0.25">
      <c r="A558" s="11" t="s">
        <v>566</v>
      </c>
      <c r="B558" s="26" t="s">
        <v>571</v>
      </c>
      <c r="C558" s="26"/>
      <c r="D558" s="26"/>
      <c r="E558" s="11">
        <v>1.2</v>
      </c>
      <c r="F558" s="11"/>
      <c r="G558" s="1">
        <f>((Fórmulas!C$7/Fórmulas!D$7)/Fórmulas!E$7)*E558</f>
        <v>3.4285714285714284</v>
      </c>
      <c r="H558" s="1">
        <f>G558*Fórmulas!B$9</f>
        <v>1200</v>
      </c>
      <c r="I558" s="7">
        <f>E558/Fórmulas!E$7</f>
        <v>2</v>
      </c>
      <c r="J558" s="17">
        <f>G558*Fórmulas!B$10</f>
        <v>2057.1428571428569</v>
      </c>
      <c r="K558" s="1">
        <v>1</v>
      </c>
      <c r="L558" s="1">
        <f>((Fórmulas!C$6/Fórmulas!D$6)/0.7)*K558</f>
        <v>2.4489795918367347</v>
      </c>
      <c r="M558" s="1">
        <f>L558*Fórmulas!D$6</f>
        <v>857.14285714285711</v>
      </c>
    </row>
    <row r="559" spans="1:13" x14ac:dyDescent="0.25">
      <c r="A559" s="11" t="s">
        <v>566</v>
      </c>
      <c r="B559" s="25" t="s">
        <v>573</v>
      </c>
      <c r="C559" s="25"/>
      <c r="D559" s="25"/>
      <c r="E559" s="11">
        <v>0.9</v>
      </c>
      <c r="F559" s="11"/>
      <c r="G559" s="1">
        <f>((Fórmulas!C$7/Fórmulas!D$7)/Fórmulas!E$7)*E559</f>
        <v>2.5714285714285716</v>
      </c>
      <c r="H559" s="1">
        <f>G559*Fórmulas!B$9</f>
        <v>900.00000000000011</v>
      </c>
      <c r="I559" s="7">
        <f>E559/Fórmulas!E$7</f>
        <v>1.5</v>
      </c>
      <c r="J559" s="17">
        <f>G559*Fórmulas!B$10</f>
        <v>1542.8571428571429</v>
      </c>
      <c r="K559" s="1">
        <v>1</v>
      </c>
      <c r="L559" s="1">
        <f>((Fórmulas!C$6/Fórmulas!D$6)/0.7)*K559</f>
        <v>2.4489795918367347</v>
      </c>
      <c r="M559" s="1">
        <f>L559*Fórmulas!D$6</f>
        <v>857.14285714285711</v>
      </c>
    </row>
    <row r="560" spans="1:13" x14ac:dyDescent="0.25">
      <c r="A560" s="9" t="s">
        <v>566</v>
      </c>
      <c r="B560" s="25" t="s">
        <v>572</v>
      </c>
      <c r="C560" s="25"/>
      <c r="D560" s="25"/>
      <c r="E560" s="11">
        <v>1.2</v>
      </c>
      <c r="F560" s="11"/>
      <c r="G560" s="1">
        <f>((Fórmulas!C$7/Fórmulas!D$7)/Fórmulas!E$7)*E560</f>
        <v>3.4285714285714284</v>
      </c>
      <c r="H560" s="1">
        <f>G560*Fórmulas!B$9</f>
        <v>1200</v>
      </c>
      <c r="I560" s="7">
        <f>E560/Fórmulas!E$7</f>
        <v>2</v>
      </c>
      <c r="J560" s="17">
        <f>G560*Fórmulas!B$10</f>
        <v>2057.1428571428569</v>
      </c>
      <c r="K560" s="1">
        <v>1</v>
      </c>
      <c r="L560" s="1">
        <f>((Fórmulas!C$6/Fórmulas!D$6)/0.7)*K560</f>
        <v>2.4489795918367347</v>
      </c>
      <c r="M560" s="1">
        <f>L560*Fórmulas!D$6</f>
        <v>857.14285714285711</v>
      </c>
    </row>
    <row r="561" spans="1:13" x14ac:dyDescent="0.25">
      <c r="A561" s="11" t="s">
        <v>566</v>
      </c>
      <c r="B561" s="25" t="s">
        <v>579</v>
      </c>
      <c r="C561" s="25"/>
      <c r="D561" s="25"/>
      <c r="E561" s="11">
        <v>0.9</v>
      </c>
      <c r="F561" s="11"/>
      <c r="G561" s="1">
        <f>((Fórmulas!C$7/Fórmulas!D$7)/Fórmulas!E$7)*E561</f>
        <v>2.5714285714285716</v>
      </c>
      <c r="H561" s="1">
        <f>G561*Fórmulas!B$9</f>
        <v>900.00000000000011</v>
      </c>
      <c r="I561" s="7">
        <f>E561/Fórmulas!E$7</f>
        <v>1.5</v>
      </c>
      <c r="J561" s="17">
        <f>G561*Fórmulas!B$10</f>
        <v>1542.8571428571429</v>
      </c>
      <c r="K561" s="1">
        <v>1</v>
      </c>
      <c r="L561" s="1">
        <f>((Fórmulas!C$6/Fórmulas!D$6)/0.7)*K561</f>
        <v>2.4489795918367347</v>
      </c>
      <c r="M561" s="1">
        <f>L561*Fórmulas!D$6</f>
        <v>857.14285714285711</v>
      </c>
    </row>
    <row r="562" spans="1:13" x14ac:dyDescent="0.25">
      <c r="A562" s="11" t="s">
        <v>566</v>
      </c>
      <c r="B562" s="25" t="s">
        <v>580</v>
      </c>
      <c r="C562" s="25"/>
      <c r="D562" s="25"/>
      <c r="E562" s="11">
        <v>1.2</v>
      </c>
      <c r="F562" s="11"/>
      <c r="G562" s="1">
        <f>((Fórmulas!C$7/Fórmulas!D$7)/Fórmulas!E$7)*E562</f>
        <v>3.4285714285714284</v>
      </c>
      <c r="H562" s="1">
        <f>G562*Fórmulas!B$9</f>
        <v>1200</v>
      </c>
      <c r="I562" s="7">
        <f>E562/Fórmulas!E$7</f>
        <v>2</v>
      </c>
      <c r="J562" s="17">
        <f>G562*Fórmulas!B$10</f>
        <v>2057.1428571428569</v>
      </c>
      <c r="K562" s="1">
        <v>1</v>
      </c>
      <c r="L562" s="1">
        <f>((Fórmulas!C$6/Fórmulas!D$6)/0.7)*K562</f>
        <v>2.4489795918367347</v>
      </c>
      <c r="M562" s="1">
        <f>L562*Fórmulas!D$6</f>
        <v>857.14285714285711</v>
      </c>
    </row>
    <row r="563" spans="1:13" s="11" customFormat="1" x14ac:dyDescent="0.25">
      <c r="A563" s="11" t="s">
        <v>566</v>
      </c>
      <c r="B563" s="25" t="s">
        <v>581</v>
      </c>
      <c r="C563" s="25"/>
      <c r="D563" s="25"/>
      <c r="E563" s="11">
        <v>0.9</v>
      </c>
      <c r="G563" s="1">
        <f>((Fórmulas!C$7/Fórmulas!D$7)/Fórmulas!E$7)*E563</f>
        <v>2.5714285714285716</v>
      </c>
      <c r="H563" s="1">
        <f>G563*Fórmulas!B$9</f>
        <v>900.00000000000011</v>
      </c>
      <c r="I563" s="7">
        <f>E563/Fórmulas!E$7</f>
        <v>1.5</v>
      </c>
      <c r="J563" s="17">
        <f>G563*Fórmulas!B$10</f>
        <v>1542.8571428571429</v>
      </c>
      <c r="K563" s="1">
        <v>1</v>
      </c>
      <c r="L563" s="1">
        <f>((Fórmulas!C$6/Fórmulas!D$6)/0.7)*K563</f>
        <v>2.4489795918367347</v>
      </c>
      <c r="M563" s="1">
        <f>L563*Fórmulas!D$6</f>
        <v>857.14285714285711</v>
      </c>
    </row>
    <row r="564" spans="1:13" x14ac:dyDescent="0.25">
      <c r="A564" s="11" t="s">
        <v>566</v>
      </c>
      <c r="B564" s="25" t="s">
        <v>582</v>
      </c>
      <c r="C564" s="25"/>
      <c r="D564" s="25"/>
      <c r="E564" s="11">
        <v>1.2</v>
      </c>
      <c r="F564" s="11"/>
      <c r="G564" s="1">
        <f>((Fórmulas!C$7/Fórmulas!D$7)/Fórmulas!E$7)*E564</f>
        <v>3.4285714285714284</v>
      </c>
      <c r="H564" s="1">
        <f>G564*Fórmulas!B$9</f>
        <v>1200</v>
      </c>
      <c r="I564" s="7">
        <f>E564/Fórmulas!E$7</f>
        <v>2</v>
      </c>
      <c r="J564" s="17">
        <f>G564*Fórmulas!B$10</f>
        <v>2057.1428571428569</v>
      </c>
      <c r="K564" s="1">
        <v>1</v>
      </c>
      <c r="L564" s="1">
        <f>((Fórmulas!C$6/Fórmulas!D$6)/0.7)*K564</f>
        <v>2.4489795918367347</v>
      </c>
      <c r="M564" s="1">
        <f>L564*Fórmulas!D$6</f>
        <v>857.14285714285711</v>
      </c>
    </row>
    <row r="565" spans="1:13" x14ac:dyDescent="0.25">
      <c r="A565" s="11"/>
      <c r="B565" s="25"/>
      <c r="C565" s="25"/>
      <c r="D565" s="25"/>
      <c r="E565" s="11">
        <v>0</v>
      </c>
      <c r="F565" s="11"/>
      <c r="G565" s="1">
        <f>((Fórmulas!C$7/Fórmulas!D$7)/Fórmulas!E$7)*E565</f>
        <v>0</v>
      </c>
      <c r="H565" s="1">
        <f>G565*Fórmulas!B$9</f>
        <v>0</v>
      </c>
      <c r="I565" s="7">
        <f>E565/Fórmulas!E$7</f>
        <v>0</v>
      </c>
      <c r="J565" s="17">
        <f>G565*Fórmulas!B$10</f>
        <v>0</v>
      </c>
      <c r="K565" s="1">
        <v>1</v>
      </c>
      <c r="L565" s="1">
        <f>((Fórmulas!C$6/Fórmulas!D$6)/0.7)*K565</f>
        <v>2.4489795918367347</v>
      </c>
      <c r="M565" s="1">
        <f>L565*Fórmulas!D$6</f>
        <v>857.14285714285711</v>
      </c>
    </row>
    <row r="566" spans="1:13" x14ac:dyDescent="0.25">
      <c r="A566" s="11"/>
      <c r="B566" s="25"/>
      <c r="C566" s="25"/>
      <c r="D566" s="25"/>
      <c r="E566" s="11">
        <v>0</v>
      </c>
      <c r="F566" s="11"/>
      <c r="G566" s="1">
        <f>((Fórmulas!C$7/Fórmulas!D$7)/Fórmulas!E$7)*E566</f>
        <v>0</v>
      </c>
      <c r="H566" s="1">
        <f>G566*Fórmulas!B$9</f>
        <v>0</v>
      </c>
      <c r="I566" s="7">
        <f>E566/Fórmulas!E$7</f>
        <v>0</v>
      </c>
      <c r="J566" s="17">
        <f>G566*Fórmulas!B$10</f>
        <v>0</v>
      </c>
      <c r="K566" s="1">
        <v>1</v>
      </c>
      <c r="L566" s="1">
        <f>((Fórmulas!C$6/Fórmulas!D$6)/0.7)*K566</f>
        <v>2.4489795918367347</v>
      </c>
      <c r="M566" s="1">
        <f>L566*Fórmulas!D$6</f>
        <v>857.14285714285711</v>
      </c>
    </row>
    <row r="567" spans="1:13" x14ac:dyDescent="0.25">
      <c r="B567" s="25"/>
      <c r="C567" s="25"/>
      <c r="D567" s="25"/>
      <c r="E567" s="11">
        <v>0</v>
      </c>
      <c r="F567" s="11"/>
      <c r="G567" s="1">
        <f>((Fórmulas!C$7/Fórmulas!D$7)/Fórmulas!E$7)*E567</f>
        <v>0</v>
      </c>
      <c r="H567" s="1">
        <f>G567*Fórmulas!B$9</f>
        <v>0</v>
      </c>
      <c r="I567" s="7">
        <f>E567/Fórmulas!E$7</f>
        <v>0</v>
      </c>
      <c r="J567" s="17">
        <f>G567*Fórmulas!B$10</f>
        <v>0</v>
      </c>
      <c r="K567" s="1">
        <v>1</v>
      </c>
      <c r="L567" s="1">
        <f>((Fórmulas!C$6/Fórmulas!D$6)/0.7)*K567</f>
        <v>2.4489795918367347</v>
      </c>
      <c r="M567" s="1">
        <f>L567*Fórmulas!D$6</f>
        <v>857.14285714285711</v>
      </c>
    </row>
    <row r="568" spans="1:13" x14ac:dyDescent="0.25">
      <c r="A568" s="11" t="s">
        <v>481</v>
      </c>
      <c r="B568" s="25" t="s">
        <v>482</v>
      </c>
      <c r="C568" s="25"/>
      <c r="D568" s="25"/>
      <c r="E568" s="11">
        <v>2.8</v>
      </c>
      <c r="F568" s="11"/>
      <c r="G568" s="1">
        <f>((Fórmulas!C$7/Fórmulas!D$7)/Fórmulas!E$7)*E568</f>
        <v>8</v>
      </c>
      <c r="H568" s="1">
        <f>G568*Fórmulas!B$9</f>
        <v>2800</v>
      </c>
      <c r="I568" s="7">
        <f>E568/Fórmulas!E$7</f>
        <v>4.666666666666667</v>
      </c>
      <c r="J568" s="17">
        <f>G568*Fórmulas!B$10</f>
        <v>4800</v>
      </c>
      <c r="K568" s="1">
        <v>1</v>
      </c>
      <c r="L568" s="1">
        <f>((Fórmulas!C$6/Fórmulas!D$6)/0.7)*K568</f>
        <v>2.4489795918367347</v>
      </c>
      <c r="M568" s="1">
        <f>L568*Fórmulas!D$6</f>
        <v>857.14285714285711</v>
      </c>
    </row>
    <row r="569" spans="1:13" x14ac:dyDescent="0.25">
      <c r="A569" s="11" t="s">
        <v>481</v>
      </c>
      <c r="B569" s="25" t="s">
        <v>483</v>
      </c>
      <c r="C569" s="25"/>
      <c r="D569" s="25"/>
      <c r="E569" s="11">
        <v>3.2</v>
      </c>
      <c r="F569" s="11"/>
      <c r="G569" s="1">
        <f>((Fórmulas!C$7/Fórmulas!D$7)/Fórmulas!E$7)*E569</f>
        <v>9.1428571428571441</v>
      </c>
      <c r="H569" s="1">
        <f>G569*Fórmulas!B$9</f>
        <v>3200.0000000000005</v>
      </c>
      <c r="I569" s="7">
        <f>E569/Fórmulas!E$7</f>
        <v>5.3333333333333339</v>
      </c>
      <c r="J569" s="17">
        <f>G569*Fórmulas!B$10</f>
        <v>5485.7142857142862</v>
      </c>
      <c r="K569" s="1">
        <v>1</v>
      </c>
      <c r="L569" s="1">
        <f>((Fórmulas!C$6/Fórmulas!D$6)/0.7)*K569</f>
        <v>2.4489795918367347</v>
      </c>
      <c r="M569" s="1">
        <f>L569*Fórmulas!D$6</f>
        <v>857.14285714285711</v>
      </c>
    </row>
    <row r="570" spans="1:13" x14ac:dyDescent="0.25">
      <c r="A570" s="11" t="s">
        <v>481</v>
      </c>
      <c r="B570" s="25" t="s">
        <v>484</v>
      </c>
      <c r="C570" s="25"/>
      <c r="D570" s="25"/>
      <c r="E570" s="11">
        <v>4.8</v>
      </c>
      <c r="F570" s="11"/>
      <c r="G570" s="1">
        <f>((Fórmulas!C$7/Fórmulas!D$7)/Fórmulas!E$7)*E570</f>
        <v>13.714285714285714</v>
      </c>
      <c r="H570" s="1">
        <f>G570*Fórmulas!B$9</f>
        <v>4800</v>
      </c>
      <c r="I570" s="7">
        <f>E570/Fórmulas!E$7</f>
        <v>8</v>
      </c>
      <c r="J570" s="17">
        <f>G570*Fórmulas!B$10</f>
        <v>8228.5714285714275</v>
      </c>
      <c r="K570" s="1">
        <v>1</v>
      </c>
      <c r="L570" s="1">
        <f>((Fórmulas!C$6/Fórmulas!D$6)/0.7)*K570</f>
        <v>2.4489795918367347</v>
      </c>
      <c r="M570" s="1">
        <f>L570*Fórmulas!D$6</f>
        <v>857.14285714285711</v>
      </c>
    </row>
    <row r="571" spans="1:13" x14ac:dyDescent="0.25">
      <c r="A571" s="11"/>
      <c r="B571" s="25"/>
      <c r="C571" s="25"/>
      <c r="D571" s="25"/>
      <c r="E571" s="11">
        <v>0</v>
      </c>
      <c r="F571" s="11"/>
      <c r="G571" s="1">
        <f>((Fórmulas!C$7/Fórmulas!D$7)/Fórmulas!E$7)*E571</f>
        <v>0</v>
      </c>
      <c r="H571" s="1">
        <f>G571*Fórmulas!B$9</f>
        <v>0</v>
      </c>
      <c r="I571" s="7">
        <f>E571/Fórmulas!E$7</f>
        <v>0</v>
      </c>
      <c r="J571" s="17">
        <f>G571*Fórmulas!B$10</f>
        <v>0</v>
      </c>
      <c r="K571" s="1">
        <v>1</v>
      </c>
      <c r="L571" s="1">
        <f>((Fórmulas!C$6/Fórmulas!D$6)/0.7)*K571</f>
        <v>2.4489795918367347</v>
      </c>
      <c r="M571" s="1">
        <f>L571*Fórmulas!D$6</f>
        <v>857.14285714285711</v>
      </c>
    </row>
    <row r="572" spans="1:13" x14ac:dyDescent="0.25">
      <c r="A572" s="9" t="s">
        <v>681</v>
      </c>
      <c r="B572" s="25" t="s">
        <v>682</v>
      </c>
      <c r="C572" s="25"/>
      <c r="D572" s="25"/>
      <c r="E572" s="11">
        <v>1.5</v>
      </c>
      <c r="F572" s="11"/>
      <c r="G572" s="1">
        <f>((Fórmulas!C$7/Fórmulas!D$7)/Fórmulas!E$7)*E572</f>
        <v>4.2857142857142856</v>
      </c>
      <c r="H572" s="1">
        <f>G572*Fórmulas!B$9</f>
        <v>1500</v>
      </c>
      <c r="I572" s="7">
        <f>E572/Fórmulas!E$7</f>
        <v>2.5</v>
      </c>
      <c r="J572" s="17">
        <f>G572*Fórmulas!B$10</f>
        <v>2571.4285714285716</v>
      </c>
      <c r="K572" s="1">
        <v>1</v>
      </c>
      <c r="L572" s="1">
        <f>((Fórmulas!C$6/Fórmulas!D$6)/0.7)*K572</f>
        <v>2.4489795918367347</v>
      </c>
      <c r="M572" s="1">
        <f>L572*Fórmulas!D$6</f>
        <v>857.14285714285711</v>
      </c>
    </row>
    <row r="573" spans="1:13" s="11" customFormat="1" x14ac:dyDescent="0.25">
      <c r="A573" s="11" t="s">
        <v>681</v>
      </c>
      <c r="B573" s="25" t="s">
        <v>683</v>
      </c>
      <c r="C573" s="25"/>
      <c r="D573" s="25"/>
      <c r="E573" s="11">
        <v>1.5</v>
      </c>
      <c r="G573" s="1">
        <f>((Fórmulas!C$7/Fórmulas!D$7)/Fórmulas!E$7)*E573</f>
        <v>4.2857142857142856</v>
      </c>
      <c r="H573" s="1">
        <f>G573*Fórmulas!B$9</f>
        <v>1500</v>
      </c>
      <c r="I573" s="7">
        <f>E573/Fórmulas!E$7</f>
        <v>2.5</v>
      </c>
      <c r="J573" s="17">
        <f>G573*Fórmulas!B$10</f>
        <v>2571.4285714285716</v>
      </c>
      <c r="K573" s="1">
        <v>1</v>
      </c>
      <c r="L573" s="1">
        <f>((Fórmulas!C$6/Fórmulas!D$6)/0.7)*K573</f>
        <v>2.4489795918367347</v>
      </c>
      <c r="M573" s="1"/>
    </row>
    <row r="574" spans="1:13" s="11" customFormat="1" x14ac:dyDescent="0.25">
      <c r="A574" s="11" t="s">
        <v>681</v>
      </c>
      <c r="B574" s="25" t="s">
        <v>684</v>
      </c>
      <c r="C574" s="25"/>
      <c r="D574" s="25"/>
      <c r="E574" s="11">
        <v>1.5</v>
      </c>
      <c r="G574" s="1">
        <f>((Fórmulas!C$7/Fórmulas!D$7)/Fórmulas!E$7)*E574</f>
        <v>4.2857142857142856</v>
      </c>
      <c r="H574" s="1">
        <f>G574*Fórmulas!B$9</f>
        <v>1500</v>
      </c>
      <c r="I574" s="7">
        <f>E574/Fórmulas!E$7</f>
        <v>2.5</v>
      </c>
      <c r="J574" s="17">
        <f>G574*Fórmulas!B$10</f>
        <v>2571.4285714285716</v>
      </c>
      <c r="K574" s="1">
        <v>1</v>
      </c>
      <c r="L574" s="1">
        <f>((Fórmulas!C$6/Fórmulas!D$6)/0.7)*K574</f>
        <v>2.4489795918367347</v>
      </c>
      <c r="M574" s="1"/>
    </row>
    <row r="575" spans="1:13" s="11" customFormat="1" x14ac:dyDescent="0.25">
      <c r="B575" s="25"/>
      <c r="C575" s="25"/>
      <c r="D575" s="25"/>
      <c r="E575" s="11">
        <v>0</v>
      </c>
      <c r="G575" s="1">
        <f>((Fórmulas!C$7/Fórmulas!D$7)/Fórmulas!E$7)*E575</f>
        <v>0</v>
      </c>
      <c r="H575" s="1">
        <f>G575*Fórmulas!B$9</f>
        <v>0</v>
      </c>
      <c r="I575" s="7">
        <f>E575/Fórmulas!E$7</f>
        <v>0</v>
      </c>
      <c r="J575" s="17">
        <f>G575*Fórmulas!B$10</f>
        <v>0</v>
      </c>
      <c r="K575" s="1">
        <v>1</v>
      </c>
      <c r="L575" s="1">
        <f>((Fórmulas!C$6/Fórmulas!D$6)/0.7)*K575</f>
        <v>2.4489795918367347</v>
      </c>
      <c r="M575" s="1"/>
    </row>
    <row r="576" spans="1:13" s="11" customFormat="1" x14ac:dyDescent="0.25">
      <c r="A576" s="11" t="s">
        <v>685</v>
      </c>
      <c r="B576" s="25" t="s">
        <v>686</v>
      </c>
      <c r="C576" s="25"/>
      <c r="D576" s="25"/>
      <c r="E576" s="11">
        <v>2</v>
      </c>
      <c r="G576" s="1">
        <f>((Fórmulas!C$7/Fórmulas!D$7)/Fórmulas!E$7)*E576</f>
        <v>5.7142857142857144</v>
      </c>
      <c r="H576" s="1">
        <f>G576*Fórmulas!B$9</f>
        <v>2000</v>
      </c>
      <c r="I576" s="7">
        <f>E576/Fórmulas!E$7</f>
        <v>3.3333333333333335</v>
      </c>
      <c r="J576" s="17">
        <f>G576*Fórmulas!B$10</f>
        <v>3428.5714285714284</v>
      </c>
      <c r="K576" s="1">
        <v>1</v>
      </c>
      <c r="L576" s="1">
        <f>((Fórmulas!C$6/Fórmulas!D$6)/0.7)*K576</f>
        <v>2.4489795918367347</v>
      </c>
      <c r="M576" s="1"/>
    </row>
    <row r="577" spans="1:13" s="11" customFormat="1" x14ac:dyDescent="0.25">
      <c r="A577" s="11" t="s">
        <v>685</v>
      </c>
      <c r="B577" s="25" t="s">
        <v>687</v>
      </c>
      <c r="C577" s="25"/>
      <c r="D577" s="25"/>
      <c r="E577" s="11">
        <v>2</v>
      </c>
      <c r="G577" s="1">
        <f>((Fórmulas!C$7/Fórmulas!D$7)/Fórmulas!E$7)*E577</f>
        <v>5.7142857142857144</v>
      </c>
      <c r="H577" s="1">
        <f>G577*Fórmulas!B$9</f>
        <v>2000</v>
      </c>
      <c r="I577" s="7">
        <f>E577/Fórmulas!E$7</f>
        <v>3.3333333333333335</v>
      </c>
      <c r="J577" s="17">
        <f>G577*Fórmulas!B$10</f>
        <v>3428.5714285714284</v>
      </c>
      <c r="K577" s="1">
        <v>1</v>
      </c>
      <c r="L577" s="1">
        <f>((Fórmulas!C$6/Fórmulas!D$6)/0.7)*K577</f>
        <v>2.4489795918367347</v>
      </c>
      <c r="M577" s="1"/>
    </row>
    <row r="578" spans="1:13" s="11" customFormat="1" x14ac:dyDescent="0.25">
      <c r="A578" s="11" t="s">
        <v>685</v>
      </c>
      <c r="B578" s="25" t="s">
        <v>688</v>
      </c>
      <c r="C578" s="25"/>
      <c r="D578" s="25"/>
      <c r="E578" s="11">
        <v>3</v>
      </c>
      <c r="G578" s="1">
        <f>((Fórmulas!C$7/Fórmulas!D$7)/Fórmulas!E$7)*E578</f>
        <v>8.5714285714285712</v>
      </c>
      <c r="H578" s="1">
        <f>G578*Fórmulas!B$9</f>
        <v>3000</v>
      </c>
      <c r="I578" s="7">
        <f>E578/Fórmulas!E$7</f>
        <v>5</v>
      </c>
      <c r="J578" s="17">
        <f>G578*Fórmulas!B$10</f>
        <v>5142.8571428571431</v>
      </c>
      <c r="K578" s="1">
        <v>1</v>
      </c>
      <c r="L578" s="1">
        <f>((Fórmulas!C$6/Fórmulas!D$6)/0.7)*K578</f>
        <v>2.4489795918367347</v>
      </c>
      <c r="M578" s="1"/>
    </row>
    <row r="579" spans="1:13" s="11" customFormat="1" x14ac:dyDescent="0.25">
      <c r="A579" s="11" t="s">
        <v>685</v>
      </c>
      <c r="B579" s="25" t="s">
        <v>689</v>
      </c>
      <c r="C579" s="25"/>
      <c r="D579" s="25"/>
      <c r="E579" s="11">
        <v>3</v>
      </c>
      <c r="G579" s="1">
        <f>((Fórmulas!C$7/Fórmulas!D$7)/Fórmulas!E$7)*E579</f>
        <v>8.5714285714285712</v>
      </c>
      <c r="H579" s="1">
        <f>G579*Fórmulas!B$9</f>
        <v>3000</v>
      </c>
      <c r="I579" s="7">
        <f>E579/Fórmulas!E$7</f>
        <v>5</v>
      </c>
      <c r="J579" s="17">
        <f>G579*Fórmulas!B$10</f>
        <v>5142.8571428571431</v>
      </c>
      <c r="K579" s="1">
        <v>1</v>
      </c>
      <c r="L579" s="1">
        <f>((Fórmulas!C$6/Fórmulas!D$6)/0.7)*K579</f>
        <v>2.4489795918367347</v>
      </c>
      <c r="M579" s="1"/>
    </row>
    <row r="580" spans="1:13" s="11" customFormat="1" x14ac:dyDescent="0.25">
      <c r="A580" s="11" t="s">
        <v>685</v>
      </c>
      <c r="B580" s="25" t="s">
        <v>690</v>
      </c>
      <c r="C580" s="25"/>
      <c r="D580" s="25"/>
      <c r="E580" s="11">
        <v>3</v>
      </c>
      <c r="G580" s="1">
        <f>((Fórmulas!C$7/Fórmulas!D$7)/Fórmulas!E$7)*E580</f>
        <v>8.5714285714285712</v>
      </c>
      <c r="H580" s="1">
        <f>G580*Fórmulas!B$9</f>
        <v>3000</v>
      </c>
      <c r="I580" s="7">
        <f>E580/Fórmulas!E$7</f>
        <v>5</v>
      </c>
      <c r="J580" s="17">
        <f>G580*Fórmulas!B$10</f>
        <v>5142.8571428571431</v>
      </c>
      <c r="K580" s="1">
        <v>1</v>
      </c>
      <c r="L580" s="1">
        <f>((Fórmulas!C$6/Fórmulas!D$6)/0.7)*K580</f>
        <v>2.4489795918367347</v>
      </c>
      <c r="M580" s="1"/>
    </row>
    <row r="581" spans="1:13" x14ac:dyDescent="0.25">
      <c r="A581" s="22" t="s">
        <v>685</v>
      </c>
      <c r="B581" s="25" t="s">
        <v>803</v>
      </c>
      <c r="C581" s="25"/>
      <c r="D581" s="25"/>
      <c r="E581" s="22">
        <v>1.8</v>
      </c>
      <c r="F581" s="22"/>
      <c r="G581" s="1">
        <f>((Fórmulas!C$7/Fórmulas!D$7)/Fórmulas!E$7)*E581</f>
        <v>5.1428571428571432</v>
      </c>
      <c r="H581" s="1">
        <f>G581*Fórmulas!B$9</f>
        <v>1800.0000000000002</v>
      </c>
      <c r="I581" s="7">
        <f>E581/Fórmulas!E$7</f>
        <v>3</v>
      </c>
      <c r="J581" s="17">
        <f>G581*Fórmulas!B$10</f>
        <v>3085.7142857142858</v>
      </c>
      <c r="K581" s="1">
        <v>1</v>
      </c>
      <c r="L581" s="1">
        <f>((Fórmulas!C$6/Fórmulas!D$6)/0.7)*K581</f>
        <v>2.4489795918367347</v>
      </c>
      <c r="M581" s="1">
        <f>L581*Fórmulas!D$6</f>
        <v>857.14285714285711</v>
      </c>
    </row>
    <row r="582" spans="1:13" s="22" customFormat="1" x14ac:dyDescent="0.25">
      <c r="B582" s="25"/>
      <c r="C582" s="25"/>
      <c r="D582" s="25"/>
      <c r="E582" s="22">
        <v>0</v>
      </c>
      <c r="G582" s="1">
        <f>((Fórmulas!C$7/Fórmulas!D$7)/Fórmulas!E$7)*E582</f>
        <v>0</v>
      </c>
      <c r="H582" s="1">
        <f>G582*Fórmulas!B$9</f>
        <v>0</v>
      </c>
      <c r="I582" s="7">
        <f>E582/Fórmulas!E$7</f>
        <v>0</v>
      </c>
      <c r="J582" s="17">
        <f>G582*Fórmulas!B$10</f>
        <v>0</v>
      </c>
      <c r="K582" s="1">
        <v>1</v>
      </c>
      <c r="L582" s="1">
        <f>((Fórmulas!C$6/Fórmulas!D$6)/0.7)*K582</f>
        <v>2.4489795918367347</v>
      </c>
      <c r="M582" s="1">
        <f>L582*Fórmulas!D$6</f>
        <v>857.14285714285711</v>
      </c>
    </row>
    <row r="583" spans="1:13" s="22" customFormat="1" x14ac:dyDescent="0.25">
      <c r="B583" s="25"/>
      <c r="C583" s="25"/>
      <c r="D583" s="25"/>
      <c r="E583" s="22">
        <v>0</v>
      </c>
      <c r="G583" s="1">
        <f>((Fórmulas!C$7/Fórmulas!D$7)/Fórmulas!E$7)*E583</f>
        <v>0</v>
      </c>
      <c r="H583" s="1">
        <f>G583*Fórmulas!B$9</f>
        <v>0</v>
      </c>
      <c r="I583" s="7">
        <f>E583/Fórmulas!E$7</f>
        <v>0</v>
      </c>
      <c r="J583" s="17">
        <f>G583*Fórmulas!B$10</f>
        <v>0</v>
      </c>
      <c r="K583" s="1">
        <v>1</v>
      </c>
      <c r="L583" s="1">
        <f>((Fórmulas!C$6/Fórmulas!D$6)/0.7)*K583</f>
        <v>2.4489795918367347</v>
      </c>
      <c r="M583" s="1">
        <f>L583*Fórmulas!D$6</f>
        <v>857.14285714285711</v>
      </c>
    </row>
    <row r="584" spans="1:13" s="22" customFormat="1" x14ac:dyDescent="0.25">
      <c r="A584" s="22" t="s">
        <v>823</v>
      </c>
      <c r="B584" s="25" t="s">
        <v>824</v>
      </c>
      <c r="C584" s="25"/>
      <c r="D584" s="25"/>
      <c r="E584" s="22">
        <v>1.8</v>
      </c>
      <c r="G584" s="1">
        <f>((Fórmulas!C$7/Fórmulas!D$7)/Fórmulas!E$7)*E584</f>
        <v>5.1428571428571432</v>
      </c>
      <c r="H584" s="1">
        <f>G584*Fórmulas!B$9</f>
        <v>1800.0000000000002</v>
      </c>
      <c r="I584" s="7">
        <f>E584/Fórmulas!E$7</f>
        <v>3</v>
      </c>
      <c r="J584" s="17">
        <f>G584*Fórmulas!B$10</f>
        <v>3085.7142857142858</v>
      </c>
      <c r="K584" s="1">
        <v>1</v>
      </c>
      <c r="L584" s="1">
        <f>((Fórmulas!C$6/Fórmulas!D$6)/0.7)*K584</f>
        <v>2.4489795918367347</v>
      </c>
      <c r="M584" s="1">
        <f>L584*Fórmulas!D$6</f>
        <v>857.14285714285711</v>
      </c>
    </row>
    <row r="585" spans="1:13" s="22" customFormat="1" x14ac:dyDescent="0.25">
      <c r="A585" s="22" t="s">
        <v>823</v>
      </c>
      <c r="B585" s="25" t="s">
        <v>825</v>
      </c>
      <c r="C585" s="25"/>
      <c r="D585" s="25"/>
      <c r="E585" s="22">
        <v>1.8</v>
      </c>
      <c r="G585" s="1">
        <f>((Fórmulas!C$7/Fórmulas!D$7)/Fórmulas!E$7)*E585</f>
        <v>5.1428571428571432</v>
      </c>
      <c r="H585" s="1">
        <f>G585*Fórmulas!B$9</f>
        <v>1800.0000000000002</v>
      </c>
      <c r="I585" s="7">
        <f>E585/Fórmulas!E$7</f>
        <v>3</v>
      </c>
      <c r="J585" s="17">
        <f>G585*Fórmulas!B$10</f>
        <v>3085.7142857142858</v>
      </c>
      <c r="K585" s="1">
        <v>1</v>
      </c>
      <c r="L585" s="1">
        <f>((Fórmulas!C$6/Fórmulas!D$6)/0.7)*K585</f>
        <v>2.4489795918367347</v>
      </c>
      <c r="M585" s="1">
        <f>L585*Fórmulas!D$6</f>
        <v>857.14285714285711</v>
      </c>
    </row>
    <row r="586" spans="1:13" s="22" customFormat="1" x14ac:dyDescent="0.25">
      <c r="A586" s="22" t="s">
        <v>823</v>
      </c>
      <c r="B586" s="25" t="s">
        <v>826</v>
      </c>
      <c r="C586" s="25"/>
      <c r="D586" s="25"/>
      <c r="E586" s="22">
        <v>3.6</v>
      </c>
      <c r="G586" s="1">
        <f>((Fórmulas!C$7/Fórmulas!D$7)/Fórmulas!E$7)*E586</f>
        <v>10.285714285714286</v>
      </c>
      <c r="H586" s="1">
        <f>G586*Fórmulas!B$9</f>
        <v>3600.0000000000005</v>
      </c>
      <c r="I586" s="7">
        <f>E586/Fórmulas!E$7</f>
        <v>6</v>
      </c>
      <c r="J586" s="17">
        <f>G586*Fórmulas!B$10</f>
        <v>6171.4285714285716</v>
      </c>
      <c r="K586" s="1">
        <v>1</v>
      </c>
      <c r="L586" s="1">
        <f>((Fórmulas!C$6/Fórmulas!D$6)/0.7)*K586</f>
        <v>2.4489795918367347</v>
      </c>
      <c r="M586" s="1">
        <f>L586*Fórmulas!D$6</f>
        <v>857.14285714285711</v>
      </c>
    </row>
    <row r="587" spans="1:13" s="22" customFormat="1" x14ac:dyDescent="0.25">
      <c r="B587" s="25"/>
      <c r="C587" s="25"/>
      <c r="D587" s="25"/>
      <c r="E587" s="22">
        <v>0</v>
      </c>
      <c r="G587" s="1">
        <f>((Fórmulas!C$7/Fórmulas!D$7)/Fórmulas!E$7)*E587</f>
        <v>0</v>
      </c>
      <c r="H587" s="1">
        <f>G587*Fórmulas!B$9</f>
        <v>0</v>
      </c>
      <c r="I587" s="7">
        <f>E587/Fórmulas!E$7</f>
        <v>0</v>
      </c>
      <c r="J587" s="17">
        <f>G587*Fórmulas!B$10</f>
        <v>0</v>
      </c>
      <c r="K587" s="1">
        <v>1</v>
      </c>
      <c r="L587" s="1">
        <f>((Fórmulas!C$6/Fórmulas!D$6)/0.7)*K587</f>
        <v>2.4489795918367347</v>
      </c>
      <c r="M587" s="1">
        <f>L587*Fórmulas!D$6</f>
        <v>857.14285714285711</v>
      </c>
    </row>
    <row r="588" spans="1:13" s="22" customFormat="1" x14ac:dyDescent="0.25">
      <c r="B588" s="25"/>
      <c r="C588" s="25"/>
      <c r="D588" s="25"/>
      <c r="E588" s="22">
        <v>0</v>
      </c>
      <c r="G588" s="1">
        <f>((Fórmulas!C$7/Fórmulas!D$7)/Fórmulas!E$7)*E588</f>
        <v>0</v>
      </c>
      <c r="H588" s="1">
        <f>G588*Fórmulas!B$9</f>
        <v>0</v>
      </c>
      <c r="I588" s="7">
        <f>E588/Fórmulas!E$7</f>
        <v>0</v>
      </c>
      <c r="J588" s="17">
        <f>G588*Fórmulas!B$10</f>
        <v>0</v>
      </c>
      <c r="K588" s="1">
        <v>1</v>
      </c>
      <c r="L588" s="1">
        <f>((Fórmulas!C$6/Fórmulas!D$6)/0.7)*K588</f>
        <v>2.4489795918367347</v>
      </c>
      <c r="M588" s="1">
        <f>L588*Fórmulas!D$6</f>
        <v>857.14285714285711</v>
      </c>
    </row>
    <row r="589" spans="1:13" x14ac:dyDescent="0.25">
      <c r="A589" s="11"/>
      <c r="B589" s="25"/>
      <c r="C589" s="25"/>
      <c r="D589" s="25"/>
      <c r="E589" s="11">
        <v>0</v>
      </c>
      <c r="F589" s="11"/>
      <c r="G589" s="1">
        <f>((Fórmulas!C$7/Fórmulas!D$7)/Fórmulas!E$7)*E589</f>
        <v>0</v>
      </c>
      <c r="H589" s="1">
        <f>G589*Fórmulas!B$9</f>
        <v>0</v>
      </c>
      <c r="I589" s="7">
        <f>E589/Fórmulas!E$7</f>
        <v>0</v>
      </c>
      <c r="J589" s="17">
        <f>G589*Fórmulas!B$10</f>
        <v>0</v>
      </c>
      <c r="K589" s="1">
        <v>1</v>
      </c>
      <c r="L589" s="1">
        <f>((Fórmulas!C$6/Fórmulas!D$6)/0.7)*K589</f>
        <v>2.4489795918367347</v>
      </c>
      <c r="M589" s="1">
        <f>L589*Fórmulas!D$6</f>
        <v>857.14285714285711</v>
      </c>
    </row>
    <row r="590" spans="1:13" s="24" customFormat="1" x14ac:dyDescent="0.25">
      <c r="A590" s="24" t="s">
        <v>841</v>
      </c>
      <c r="B590" s="25" t="s">
        <v>853</v>
      </c>
      <c r="C590" s="25"/>
      <c r="D590" s="25"/>
      <c r="E590" s="24">
        <v>2.4</v>
      </c>
      <c r="G590" s="1">
        <f>((Fórmulas!C$7/Fórmulas!D$7)/Fórmulas!E$7)*E590</f>
        <v>6.8571428571428568</v>
      </c>
      <c r="H590" s="1">
        <f>G590*Fórmulas!B$9</f>
        <v>2400</v>
      </c>
      <c r="I590" s="7">
        <f>E590/Fórmulas!E$7</f>
        <v>4</v>
      </c>
      <c r="J590" s="17">
        <f>G590*Fórmulas!B$10</f>
        <v>4114.2857142857138</v>
      </c>
      <c r="K590" s="1">
        <v>1</v>
      </c>
      <c r="L590" s="1">
        <f>((Fórmulas!C$6/Fórmulas!D$6)/0.7)*K590</f>
        <v>2.4489795918367347</v>
      </c>
      <c r="M590" s="1">
        <f>L590*Fórmulas!D$6</f>
        <v>857.14285714285711</v>
      </c>
    </row>
    <row r="591" spans="1:13" s="24" customFormat="1" x14ac:dyDescent="0.25">
      <c r="A591" s="24" t="s">
        <v>841</v>
      </c>
      <c r="B591" s="23" t="s">
        <v>857</v>
      </c>
      <c r="C591" s="23"/>
      <c r="D591" s="23"/>
      <c r="E591" s="24">
        <v>1.2</v>
      </c>
      <c r="G591" s="1">
        <f>((Fórmulas!C$7/Fórmulas!D$7)/Fórmulas!E$7)*E591</f>
        <v>3.4285714285714284</v>
      </c>
      <c r="H591" s="1">
        <f>G591*Fórmulas!B$9</f>
        <v>1200</v>
      </c>
      <c r="I591" s="7">
        <f>E591/Fórmulas!E$7</f>
        <v>2</v>
      </c>
      <c r="J591" s="17">
        <f>G591*Fórmulas!B$10</f>
        <v>2057.1428571428569</v>
      </c>
      <c r="K591" s="1">
        <v>1</v>
      </c>
      <c r="L591" s="1">
        <f>((Fórmulas!C$6/Fórmulas!D$6)/0.7)*K591</f>
        <v>2.4489795918367347</v>
      </c>
      <c r="M591" s="1">
        <f>L591*Fórmulas!D$6</f>
        <v>857.14285714285711</v>
      </c>
    </row>
    <row r="592" spans="1:13" s="24" customFormat="1" x14ac:dyDescent="0.25">
      <c r="A592" s="24" t="s">
        <v>841</v>
      </c>
      <c r="B592" s="23" t="s">
        <v>859</v>
      </c>
      <c r="C592" s="23"/>
      <c r="D592" s="23"/>
      <c r="E592" s="24">
        <v>1.2</v>
      </c>
      <c r="G592" s="1">
        <f>((Fórmulas!C$7/Fórmulas!D$7)/Fórmulas!E$7)*E592</f>
        <v>3.4285714285714284</v>
      </c>
      <c r="H592" s="1">
        <f>G592*Fórmulas!B$9</f>
        <v>1200</v>
      </c>
      <c r="I592" s="7">
        <f>E592/Fórmulas!E$7</f>
        <v>2</v>
      </c>
      <c r="J592" s="17">
        <f>G592*Fórmulas!B$10</f>
        <v>2057.1428571428569</v>
      </c>
      <c r="K592" s="1">
        <v>1</v>
      </c>
      <c r="L592" s="1">
        <f>((Fórmulas!C$6/Fórmulas!D$6)/0.7)*K592</f>
        <v>2.4489795918367347</v>
      </c>
      <c r="M592" s="1">
        <f>L592*Fórmulas!D$6</f>
        <v>857.14285714285711</v>
      </c>
    </row>
    <row r="593" spans="1:13" s="24" customFormat="1" x14ac:dyDescent="0.25">
      <c r="A593" s="24" t="s">
        <v>841</v>
      </c>
      <c r="B593" s="23" t="s">
        <v>862</v>
      </c>
      <c r="C593" s="23"/>
      <c r="D593" s="23"/>
      <c r="E593" s="24">
        <v>1.2</v>
      </c>
      <c r="G593" s="1">
        <f>((Fórmulas!C$7/Fórmulas!D$7)/Fórmulas!E$7)*E593</f>
        <v>3.4285714285714284</v>
      </c>
      <c r="H593" s="1">
        <f>G593*Fórmulas!B$9</f>
        <v>1200</v>
      </c>
      <c r="I593" s="7">
        <f>E593/Fórmulas!E$7</f>
        <v>2</v>
      </c>
      <c r="J593" s="17">
        <f>G593*Fórmulas!B$10</f>
        <v>2057.1428571428569</v>
      </c>
      <c r="K593" s="1">
        <v>1</v>
      </c>
      <c r="L593" s="1">
        <f>((Fórmulas!C$6/Fórmulas!D$6)/0.7)*K593</f>
        <v>2.4489795918367347</v>
      </c>
      <c r="M593" s="1">
        <f>L593*Fórmulas!D$6</f>
        <v>857.14285714285711</v>
      </c>
    </row>
    <row r="594" spans="1:13" s="24" customFormat="1" x14ac:dyDescent="0.25">
      <c r="A594" s="24" t="s">
        <v>841</v>
      </c>
      <c r="B594" s="25" t="s">
        <v>863</v>
      </c>
      <c r="C594" s="25"/>
      <c r="D594" s="25"/>
      <c r="E594" s="24">
        <v>1.2</v>
      </c>
      <c r="G594" s="1">
        <f>((Fórmulas!C$7/Fórmulas!D$7)/Fórmulas!E$7)*E594</f>
        <v>3.4285714285714284</v>
      </c>
      <c r="H594" s="1">
        <f>G594*Fórmulas!B$9</f>
        <v>1200</v>
      </c>
      <c r="I594" s="7">
        <f>E594/Fórmulas!E$7</f>
        <v>2</v>
      </c>
      <c r="J594" s="17">
        <f>G594*Fórmulas!B$10</f>
        <v>2057.1428571428569</v>
      </c>
      <c r="K594" s="1">
        <v>1</v>
      </c>
      <c r="L594" s="1">
        <f>((Fórmulas!C$6/Fórmulas!D$6)/0.7)*K594</f>
        <v>2.4489795918367347</v>
      </c>
      <c r="M594" s="1">
        <f>L594*Fórmulas!D$6</f>
        <v>857.14285714285711</v>
      </c>
    </row>
    <row r="595" spans="1:13" s="24" customFormat="1" x14ac:dyDescent="0.25">
      <c r="A595" s="24" t="s">
        <v>841</v>
      </c>
      <c r="B595" s="25" t="s">
        <v>864</v>
      </c>
      <c r="C595" s="25"/>
      <c r="D595" s="25"/>
      <c r="E595" s="24">
        <v>1.2</v>
      </c>
      <c r="G595" s="1">
        <f>((Fórmulas!C$7/Fórmulas!D$7)/Fórmulas!E$7)*E595</f>
        <v>3.4285714285714284</v>
      </c>
      <c r="H595" s="1">
        <f>G595*Fórmulas!B$9</f>
        <v>1200</v>
      </c>
      <c r="I595" s="7">
        <f>E595/Fórmulas!E$7</f>
        <v>2</v>
      </c>
      <c r="J595" s="17">
        <f>G595*Fórmulas!B$10</f>
        <v>2057.1428571428569</v>
      </c>
      <c r="K595" s="1">
        <v>1</v>
      </c>
      <c r="L595" s="1">
        <f>((Fórmulas!C$6/Fórmulas!D$6)/0.7)*K595</f>
        <v>2.4489795918367347</v>
      </c>
      <c r="M595" s="1">
        <f>L595*Fórmulas!D$6</f>
        <v>857.14285714285711</v>
      </c>
    </row>
    <row r="596" spans="1:13" s="24" customFormat="1" x14ac:dyDescent="0.25">
      <c r="A596" s="24" t="s">
        <v>841</v>
      </c>
      <c r="B596" s="25" t="s">
        <v>861</v>
      </c>
      <c r="C596" s="25"/>
      <c r="D596" s="25"/>
      <c r="E596" s="24">
        <v>1.2</v>
      </c>
      <c r="G596" s="1">
        <f>((Fórmulas!C$7/Fórmulas!D$7)/Fórmulas!E$7)*E596</f>
        <v>3.4285714285714284</v>
      </c>
      <c r="H596" s="1">
        <f>G596*Fórmulas!B$9</f>
        <v>1200</v>
      </c>
      <c r="I596" s="7">
        <f>E596/Fórmulas!E$7</f>
        <v>2</v>
      </c>
      <c r="J596" s="17">
        <f>G596*Fórmulas!B$10</f>
        <v>2057.1428571428569</v>
      </c>
      <c r="K596" s="1">
        <v>1</v>
      </c>
      <c r="L596" s="1">
        <f>((Fórmulas!C$6/Fórmulas!D$6)/0.7)*K596</f>
        <v>2.4489795918367347</v>
      </c>
      <c r="M596" s="1">
        <f>L596*Fórmulas!D$6</f>
        <v>857.14285714285711</v>
      </c>
    </row>
    <row r="597" spans="1:13" s="24" customFormat="1" x14ac:dyDescent="0.25">
      <c r="A597" s="24" t="s">
        <v>841</v>
      </c>
      <c r="B597" s="25" t="s">
        <v>860</v>
      </c>
      <c r="C597" s="25"/>
      <c r="D597" s="25"/>
      <c r="E597" s="24">
        <v>1.2</v>
      </c>
      <c r="G597" s="1">
        <f>((Fórmulas!C$7/Fórmulas!D$7)/Fórmulas!E$7)*E597</f>
        <v>3.4285714285714284</v>
      </c>
      <c r="H597" s="1">
        <f>G597*Fórmulas!B$9</f>
        <v>1200</v>
      </c>
      <c r="I597" s="7">
        <f>E597/Fórmulas!E$7</f>
        <v>2</v>
      </c>
      <c r="J597" s="17">
        <f>G597*Fórmulas!B$10</f>
        <v>2057.1428571428569</v>
      </c>
      <c r="K597" s="1">
        <v>1</v>
      </c>
      <c r="L597" s="1">
        <f>((Fórmulas!C$6/Fórmulas!D$6)/0.7)*K597</f>
        <v>2.4489795918367347</v>
      </c>
      <c r="M597" s="1">
        <f>L597*Fórmulas!D$6</f>
        <v>857.14285714285711</v>
      </c>
    </row>
    <row r="598" spans="1:13" s="24" customFormat="1" x14ac:dyDescent="0.25">
      <c r="A598" s="24" t="s">
        <v>841</v>
      </c>
      <c r="B598" s="25" t="s">
        <v>858</v>
      </c>
      <c r="C598" s="25"/>
      <c r="D598" s="25"/>
      <c r="E598" s="24">
        <v>1.2</v>
      </c>
      <c r="G598" s="1">
        <f>((Fórmulas!C$7/Fórmulas!D$7)/Fórmulas!E$7)*E598</f>
        <v>3.4285714285714284</v>
      </c>
      <c r="H598" s="1">
        <f>G598*Fórmulas!B$9</f>
        <v>1200</v>
      </c>
      <c r="I598" s="7">
        <f>E598/Fórmulas!E$7</f>
        <v>2</v>
      </c>
      <c r="J598" s="17">
        <f>G598*Fórmulas!B$10</f>
        <v>2057.1428571428569</v>
      </c>
      <c r="K598" s="1">
        <v>1</v>
      </c>
      <c r="L598" s="1">
        <f>((Fórmulas!C$6/Fórmulas!D$6)/0.7)*K598</f>
        <v>2.4489795918367347</v>
      </c>
      <c r="M598" s="1">
        <f>L598*Fórmulas!D$6</f>
        <v>857.14285714285711</v>
      </c>
    </row>
    <row r="599" spans="1:13" s="24" customFormat="1" x14ac:dyDescent="0.25">
      <c r="A599" s="24" t="s">
        <v>841</v>
      </c>
      <c r="B599" s="25" t="s">
        <v>854</v>
      </c>
      <c r="C599" s="25"/>
      <c r="D599" s="25"/>
      <c r="E599" s="24">
        <v>2.4</v>
      </c>
      <c r="G599" s="1">
        <f>((Fórmulas!C$7/Fórmulas!D$7)/Fórmulas!E$7)*E599</f>
        <v>6.8571428571428568</v>
      </c>
      <c r="H599" s="1">
        <f>G599*Fórmulas!B$9</f>
        <v>2400</v>
      </c>
      <c r="I599" s="7">
        <f>E599/Fórmulas!E$7</f>
        <v>4</v>
      </c>
      <c r="J599" s="17">
        <f>G599*Fórmulas!B$10</f>
        <v>4114.2857142857138</v>
      </c>
      <c r="K599" s="1">
        <v>1</v>
      </c>
      <c r="L599" s="1">
        <f>((Fórmulas!C$6/Fórmulas!D$6)/0.7)*K599</f>
        <v>2.4489795918367347</v>
      </c>
      <c r="M599" s="1">
        <f>L599*Fórmulas!D$6</f>
        <v>857.14285714285711</v>
      </c>
    </row>
    <row r="600" spans="1:13" s="24" customFormat="1" x14ac:dyDescent="0.25">
      <c r="A600" s="24" t="s">
        <v>841</v>
      </c>
      <c r="B600" s="25" t="s">
        <v>855</v>
      </c>
      <c r="C600" s="25"/>
      <c r="D600" s="25"/>
      <c r="E600" s="24">
        <v>2.7</v>
      </c>
      <c r="G600" s="1">
        <f>((Fórmulas!C$7/Fórmulas!D$7)/Fórmulas!E$7)*E600</f>
        <v>7.7142857142857153</v>
      </c>
      <c r="H600" s="1">
        <f>G600*Fórmulas!B$9</f>
        <v>2700.0000000000005</v>
      </c>
      <c r="I600" s="7">
        <f>E600/Fórmulas!E$7</f>
        <v>4.5000000000000009</v>
      </c>
      <c r="J600" s="17">
        <f>G600*Fórmulas!B$10</f>
        <v>4628.5714285714294</v>
      </c>
      <c r="K600" s="1">
        <v>1</v>
      </c>
      <c r="L600" s="1">
        <f>((Fórmulas!C$6/Fórmulas!D$6)/0.7)*K600</f>
        <v>2.4489795918367347</v>
      </c>
      <c r="M600" s="1">
        <f>L600*Fórmulas!D$6</f>
        <v>857.14285714285711</v>
      </c>
    </row>
    <row r="601" spans="1:13" s="24" customFormat="1" x14ac:dyDescent="0.25">
      <c r="A601" s="24" t="s">
        <v>841</v>
      </c>
      <c r="B601" s="25" t="s">
        <v>856</v>
      </c>
      <c r="C601" s="25"/>
      <c r="D601" s="25"/>
      <c r="E601" s="24">
        <v>3</v>
      </c>
      <c r="G601" s="1">
        <f>((Fórmulas!C$7/Fórmulas!D$7)/Fórmulas!E$7)*E601</f>
        <v>8.5714285714285712</v>
      </c>
      <c r="H601" s="1">
        <f>G601*Fórmulas!B$9</f>
        <v>3000</v>
      </c>
      <c r="I601" s="7">
        <f>E601/Fórmulas!E$7</f>
        <v>5</v>
      </c>
      <c r="J601" s="17">
        <f>G601*Fórmulas!B$10</f>
        <v>5142.8571428571431</v>
      </c>
      <c r="K601" s="1">
        <v>1</v>
      </c>
      <c r="L601" s="1">
        <f>((Fórmulas!C$6/Fórmulas!D$6)/0.7)*K601</f>
        <v>2.4489795918367347</v>
      </c>
      <c r="M601" s="1">
        <f>L601*Fórmulas!D$6</f>
        <v>857.14285714285711</v>
      </c>
    </row>
    <row r="602" spans="1:13" s="24" customFormat="1" x14ac:dyDescent="0.25">
      <c r="B602" s="25"/>
      <c r="C602" s="25"/>
      <c r="D602" s="25"/>
      <c r="E602" s="24">
        <v>0</v>
      </c>
      <c r="G602" s="1">
        <f>((Fórmulas!C$7/Fórmulas!D$7)/Fórmulas!E$7)*E602</f>
        <v>0</v>
      </c>
      <c r="H602" s="1">
        <f>G602*Fórmulas!B$9</f>
        <v>0</v>
      </c>
      <c r="I602" s="7">
        <f>E602/Fórmulas!E$7</f>
        <v>0</v>
      </c>
      <c r="J602" s="17">
        <f>G602*Fórmulas!B$10</f>
        <v>0</v>
      </c>
      <c r="K602" s="1">
        <v>1</v>
      </c>
      <c r="L602" s="1">
        <f>((Fórmulas!C$6/Fórmulas!D$6)/0.7)*K602</f>
        <v>2.4489795918367347</v>
      </c>
      <c r="M602" s="1">
        <f>L602*Fórmulas!D$6</f>
        <v>857.14285714285711</v>
      </c>
    </row>
    <row r="603" spans="1:13" s="24" customFormat="1" x14ac:dyDescent="0.25">
      <c r="B603" s="25"/>
      <c r="C603" s="25"/>
      <c r="D603" s="25"/>
      <c r="E603" s="24">
        <v>0</v>
      </c>
      <c r="G603" s="1">
        <f>((Fórmulas!C$7/Fórmulas!D$7)/Fórmulas!E$7)*E603</f>
        <v>0</v>
      </c>
      <c r="H603" s="1">
        <f>G603*Fórmulas!B$9</f>
        <v>0</v>
      </c>
      <c r="I603" s="7">
        <f>E603/Fórmulas!E$7</f>
        <v>0</v>
      </c>
      <c r="J603" s="17">
        <f>G603*Fórmulas!B$10</f>
        <v>0</v>
      </c>
      <c r="K603" s="1">
        <v>1</v>
      </c>
      <c r="L603" s="1">
        <f>((Fórmulas!C$6/Fórmulas!D$6)/0.7)*K603</f>
        <v>2.4489795918367347</v>
      </c>
      <c r="M603" s="1">
        <f>L603*Fórmulas!D$6</f>
        <v>857.14285714285711</v>
      </c>
    </row>
    <row r="604" spans="1:13" s="24" customFormat="1" x14ac:dyDescent="0.25">
      <c r="B604" s="25"/>
      <c r="C604" s="25"/>
      <c r="D604" s="25"/>
      <c r="E604" s="24">
        <v>0</v>
      </c>
      <c r="G604" s="1">
        <f>((Fórmulas!C$7/Fórmulas!D$7)/Fórmulas!E$7)*E604</f>
        <v>0</v>
      </c>
      <c r="H604" s="1">
        <f>G604*Fórmulas!B$9</f>
        <v>0</v>
      </c>
      <c r="I604" s="7">
        <f>E604/Fórmulas!E$7</f>
        <v>0</v>
      </c>
      <c r="J604" s="17">
        <f>G604*Fórmulas!B$10</f>
        <v>0</v>
      </c>
      <c r="K604" s="1">
        <v>1</v>
      </c>
      <c r="L604" s="1">
        <f>((Fórmulas!C$6/Fórmulas!D$6)/0.7)*K604</f>
        <v>2.4489795918367347</v>
      </c>
      <c r="M604" s="1">
        <f>L604*Fórmulas!D$6</f>
        <v>857.14285714285711</v>
      </c>
    </row>
    <row r="605" spans="1:13" s="24" customFormat="1" x14ac:dyDescent="0.25">
      <c r="A605" s="24" t="s">
        <v>448</v>
      </c>
      <c r="B605" s="25" t="s">
        <v>866</v>
      </c>
      <c r="C605" s="25"/>
      <c r="D605" s="25"/>
      <c r="E605" s="24">
        <v>1.8</v>
      </c>
      <c r="G605" s="1">
        <f>((Fórmulas!C$7/Fórmulas!D$7)/Fórmulas!E$7)*E605</f>
        <v>5.1428571428571432</v>
      </c>
      <c r="H605" s="1">
        <f>G605*Fórmulas!B$9</f>
        <v>1800.0000000000002</v>
      </c>
      <c r="I605" s="7">
        <f>E605/Fórmulas!E$7</f>
        <v>3</v>
      </c>
      <c r="J605" s="17">
        <f>G605*Fórmulas!B$10</f>
        <v>3085.7142857142858</v>
      </c>
      <c r="K605" s="1">
        <v>1</v>
      </c>
      <c r="L605" s="1">
        <f>((Fórmulas!C$6/Fórmulas!D$6)/0.7)*K605</f>
        <v>2.4489795918367347</v>
      </c>
      <c r="M605" s="1">
        <f>L605*Fórmulas!D$6</f>
        <v>857.14285714285711</v>
      </c>
    </row>
    <row r="606" spans="1:13" s="24" customFormat="1" x14ac:dyDescent="0.25">
      <c r="B606" s="25"/>
      <c r="C606" s="25"/>
      <c r="D606" s="25"/>
      <c r="E606" s="24">
        <v>0</v>
      </c>
      <c r="G606" s="1">
        <f>((Fórmulas!C$7/Fórmulas!D$7)/Fórmulas!E$7)*E606</f>
        <v>0</v>
      </c>
      <c r="H606" s="1">
        <f>G606*Fórmulas!B$9</f>
        <v>0</v>
      </c>
      <c r="I606" s="7">
        <f>E606/Fórmulas!E$7</f>
        <v>0</v>
      </c>
      <c r="J606" s="17">
        <f>G606*Fórmulas!B$10</f>
        <v>0</v>
      </c>
      <c r="K606" s="1">
        <v>1</v>
      </c>
      <c r="L606" s="1">
        <f>((Fórmulas!C$6/Fórmulas!D$6)/0.7)*K606</f>
        <v>2.4489795918367347</v>
      </c>
      <c r="M606" s="1">
        <f>L606*Fórmulas!D$6</f>
        <v>857.14285714285711</v>
      </c>
    </row>
    <row r="607" spans="1:13" s="24" customFormat="1" x14ac:dyDescent="0.25">
      <c r="B607" s="25"/>
      <c r="C607" s="25"/>
      <c r="D607" s="25"/>
      <c r="E607" s="24">
        <v>0</v>
      </c>
      <c r="G607" s="1">
        <f>((Fórmulas!C$7/Fórmulas!D$7)/Fórmulas!E$7)*E607</f>
        <v>0</v>
      </c>
      <c r="H607" s="1">
        <f>G607*Fórmulas!B$9</f>
        <v>0</v>
      </c>
      <c r="I607" s="7">
        <f>E607/Fórmulas!E$7</f>
        <v>0</v>
      </c>
      <c r="J607" s="17">
        <f>G607*Fórmulas!B$10</f>
        <v>0</v>
      </c>
      <c r="K607" s="1">
        <v>1</v>
      </c>
      <c r="L607" s="1">
        <f>((Fórmulas!C$6/Fórmulas!D$6)/0.7)*K607</f>
        <v>2.4489795918367347</v>
      </c>
      <c r="M607" s="1">
        <f>L607*Fórmulas!D$6</f>
        <v>857.14285714285711</v>
      </c>
    </row>
    <row r="608" spans="1:13" s="24" customFormat="1" x14ac:dyDescent="0.25">
      <c r="B608" s="25"/>
      <c r="C608" s="25"/>
      <c r="D608" s="25"/>
      <c r="E608" s="24">
        <v>0</v>
      </c>
      <c r="G608" s="1">
        <f>((Fórmulas!C$7/Fórmulas!D$7)/Fórmulas!E$7)*E608</f>
        <v>0</v>
      </c>
      <c r="H608" s="1">
        <f>G608*Fórmulas!B$9</f>
        <v>0</v>
      </c>
      <c r="I608" s="7">
        <f>E608/Fórmulas!E$7</f>
        <v>0</v>
      </c>
      <c r="J608" s="17">
        <f>G608*Fórmulas!B$10</f>
        <v>0</v>
      </c>
      <c r="K608" s="1">
        <v>1</v>
      </c>
      <c r="L608" s="1">
        <f>((Fórmulas!C$6/Fórmulas!D$6)/0.7)*K608</f>
        <v>2.4489795918367347</v>
      </c>
      <c r="M608" s="1">
        <f>L608*Fórmulas!D$6</f>
        <v>857.14285714285711</v>
      </c>
    </row>
    <row r="609" spans="1:13" s="24" customFormat="1" x14ac:dyDescent="0.25">
      <c r="B609" s="25"/>
      <c r="C609" s="25"/>
      <c r="D609" s="25"/>
      <c r="E609" s="24">
        <v>0</v>
      </c>
      <c r="G609" s="1">
        <f>((Fórmulas!C$7/Fórmulas!D$7)/Fórmulas!E$7)*E609</f>
        <v>0</v>
      </c>
      <c r="H609" s="1">
        <f>G609*Fórmulas!B$9</f>
        <v>0</v>
      </c>
      <c r="I609" s="7">
        <f>E609/Fórmulas!E$7</f>
        <v>0</v>
      </c>
      <c r="J609" s="17">
        <f>G609*Fórmulas!B$10</f>
        <v>0</v>
      </c>
      <c r="K609" s="1">
        <v>1</v>
      </c>
      <c r="L609" s="1">
        <f>((Fórmulas!C$6/Fórmulas!D$6)/0.7)*K609</f>
        <v>2.4489795918367347</v>
      </c>
      <c r="M609" s="1">
        <f>L609*Fórmulas!D$6</f>
        <v>857.14285714285711</v>
      </c>
    </row>
    <row r="610" spans="1:13" s="24" customFormat="1" x14ac:dyDescent="0.25">
      <c r="B610" s="25"/>
      <c r="C610" s="25"/>
      <c r="D610" s="25"/>
      <c r="E610" s="24">
        <v>0</v>
      </c>
      <c r="G610" s="1">
        <f>((Fórmulas!C$7/Fórmulas!D$7)/Fórmulas!E$7)*E610</f>
        <v>0</v>
      </c>
      <c r="H610" s="1">
        <f>G610*Fórmulas!B$9</f>
        <v>0</v>
      </c>
      <c r="I610" s="7">
        <f>E610/Fórmulas!E$7</f>
        <v>0</v>
      </c>
      <c r="J610" s="17">
        <f>G610*Fórmulas!B$10</f>
        <v>0</v>
      </c>
      <c r="K610" s="1">
        <v>1</v>
      </c>
      <c r="L610" s="1">
        <f>((Fórmulas!C$6/Fórmulas!D$6)/0.7)*K610</f>
        <v>2.4489795918367347</v>
      </c>
      <c r="M610" s="1">
        <f>L610*Fórmulas!D$6</f>
        <v>857.14285714285711</v>
      </c>
    </row>
    <row r="611" spans="1:13" s="24" customFormat="1" x14ac:dyDescent="0.25">
      <c r="A611" s="24" t="s">
        <v>868</v>
      </c>
      <c r="B611" s="25" t="s">
        <v>870</v>
      </c>
      <c r="C611" s="25"/>
      <c r="D611" s="25"/>
      <c r="E611" s="24">
        <v>1.2</v>
      </c>
      <c r="G611" s="1">
        <f>((Fórmulas!C$7/Fórmulas!D$7)/Fórmulas!E$7)*E611</f>
        <v>3.4285714285714284</v>
      </c>
      <c r="H611" s="1">
        <f>G611*Fórmulas!B$9</f>
        <v>1200</v>
      </c>
      <c r="I611" s="7">
        <f>E611/Fórmulas!E$7</f>
        <v>2</v>
      </c>
      <c r="J611" s="17">
        <f>G611*Fórmulas!B$10</f>
        <v>2057.1428571428569</v>
      </c>
      <c r="K611" s="1">
        <v>1</v>
      </c>
      <c r="L611" s="1">
        <f>((Fórmulas!C$6/Fórmulas!D$6)/0.7)*K611</f>
        <v>2.4489795918367347</v>
      </c>
      <c r="M611" s="1">
        <f>L611*Fórmulas!D$6</f>
        <v>857.14285714285711</v>
      </c>
    </row>
    <row r="612" spans="1:13" s="24" customFormat="1" x14ac:dyDescent="0.25">
      <c r="B612" s="25" t="s">
        <v>869</v>
      </c>
      <c r="C612" s="25"/>
      <c r="D612" s="25"/>
      <c r="E612" s="24">
        <v>1.2</v>
      </c>
      <c r="G612" s="1">
        <f>((Fórmulas!C$7/Fórmulas!D$7)/Fórmulas!E$7)*E612</f>
        <v>3.4285714285714284</v>
      </c>
      <c r="H612" s="1">
        <f>G612*Fórmulas!B$9</f>
        <v>1200</v>
      </c>
      <c r="I612" s="7">
        <f>E612/Fórmulas!E$7</f>
        <v>2</v>
      </c>
      <c r="J612" s="17">
        <f>G612*Fórmulas!B$10</f>
        <v>2057.1428571428569</v>
      </c>
      <c r="K612" s="1">
        <v>1</v>
      </c>
      <c r="L612" s="1">
        <f>((Fórmulas!C$6/Fórmulas!D$6)/0.7)*K612</f>
        <v>2.4489795918367347</v>
      </c>
      <c r="M612" s="1">
        <f>L612*Fórmulas!D$6</f>
        <v>857.14285714285711</v>
      </c>
    </row>
    <row r="613" spans="1:13" s="24" customFormat="1" x14ac:dyDescent="0.25">
      <c r="B613" s="25"/>
      <c r="C613" s="25"/>
      <c r="D613" s="25"/>
      <c r="E613" s="24">
        <v>0</v>
      </c>
      <c r="G613" s="1">
        <f>((Fórmulas!C$7/Fórmulas!D$7)/Fórmulas!E$7)*E613</f>
        <v>0</v>
      </c>
      <c r="H613" s="1">
        <f>G613*Fórmulas!B$9</f>
        <v>0</v>
      </c>
      <c r="I613" s="7">
        <f>E613/Fórmulas!E$7</f>
        <v>0</v>
      </c>
      <c r="J613" s="17">
        <f>G613*Fórmulas!B$10</f>
        <v>0</v>
      </c>
      <c r="K613" s="1">
        <v>1</v>
      </c>
      <c r="L613" s="1">
        <f>((Fórmulas!C$6/Fórmulas!D$6)/0.7)*K613</f>
        <v>2.4489795918367347</v>
      </c>
      <c r="M613" s="1">
        <f>L613*Fórmulas!D$6</f>
        <v>857.14285714285711</v>
      </c>
    </row>
    <row r="614" spans="1:13" s="24" customFormat="1" x14ac:dyDescent="0.25">
      <c r="B614" s="25"/>
      <c r="C614" s="25"/>
      <c r="D614" s="25"/>
      <c r="E614" s="24">
        <v>0</v>
      </c>
      <c r="G614" s="1">
        <f>((Fórmulas!C$7/Fórmulas!D$7)/Fórmulas!E$7)*E614</f>
        <v>0</v>
      </c>
      <c r="H614" s="1">
        <f>G614*Fórmulas!B$9</f>
        <v>0</v>
      </c>
      <c r="I614" s="7">
        <f>E614/Fórmulas!E$7</f>
        <v>0</v>
      </c>
      <c r="J614" s="17">
        <f>G614*Fórmulas!B$10</f>
        <v>0</v>
      </c>
      <c r="K614" s="1">
        <v>1</v>
      </c>
      <c r="L614" s="1">
        <f>((Fórmulas!C$6/Fórmulas!D$6)/0.7)*K614</f>
        <v>2.4489795918367347</v>
      </c>
      <c r="M614" s="1">
        <f>L614*Fórmulas!D$6</f>
        <v>857.14285714285711</v>
      </c>
    </row>
    <row r="615" spans="1:13" s="24" customFormat="1" x14ac:dyDescent="0.25">
      <c r="B615" s="25"/>
      <c r="C615" s="25"/>
      <c r="D615" s="25"/>
      <c r="E615" s="24">
        <v>0</v>
      </c>
      <c r="G615" s="1">
        <f>((Fórmulas!C$7/Fórmulas!D$7)/Fórmulas!E$7)*E615</f>
        <v>0</v>
      </c>
      <c r="H615" s="1">
        <f>G615*Fórmulas!B$9</f>
        <v>0</v>
      </c>
      <c r="I615" s="7">
        <f>E615/Fórmulas!E$7</f>
        <v>0</v>
      </c>
      <c r="J615" s="17">
        <f>G615*Fórmulas!B$10</f>
        <v>0</v>
      </c>
      <c r="K615" s="1">
        <v>1</v>
      </c>
      <c r="L615" s="1">
        <f>((Fórmulas!C$6/Fórmulas!D$6)/0.7)*K615</f>
        <v>2.4489795918367347</v>
      </c>
      <c r="M615" s="1">
        <f>L615*Fórmulas!D$6</f>
        <v>857.14285714285711</v>
      </c>
    </row>
    <row r="616" spans="1:13" s="24" customFormat="1" x14ac:dyDescent="0.25">
      <c r="A616" s="24" t="s">
        <v>871</v>
      </c>
      <c r="B616" s="25" t="s">
        <v>872</v>
      </c>
      <c r="C616" s="25"/>
      <c r="D616" s="25"/>
      <c r="E616" s="24">
        <v>1.2</v>
      </c>
      <c r="G616" s="1">
        <f>((Fórmulas!C$7/Fórmulas!D$7)/Fórmulas!E$7)*E616</f>
        <v>3.4285714285714284</v>
      </c>
      <c r="H616" s="1">
        <f>G616*Fórmulas!B$9</f>
        <v>1200</v>
      </c>
      <c r="I616" s="7">
        <f>E616/Fórmulas!E$7</f>
        <v>2</v>
      </c>
      <c r="J616" s="17">
        <f>G616*Fórmulas!B$10</f>
        <v>2057.1428571428569</v>
      </c>
      <c r="K616" s="1">
        <v>1</v>
      </c>
      <c r="L616" s="1">
        <f>((Fórmulas!C$6/Fórmulas!D$6)/0.7)*K616</f>
        <v>2.4489795918367347</v>
      </c>
      <c r="M616" s="1">
        <f>L616*Fórmulas!D$6</f>
        <v>857.14285714285711</v>
      </c>
    </row>
    <row r="617" spans="1:13" s="24" customFormat="1" x14ac:dyDescent="0.25">
      <c r="B617" s="25"/>
      <c r="C617" s="25"/>
      <c r="D617" s="25"/>
      <c r="E617" s="24">
        <v>0</v>
      </c>
      <c r="G617" s="1">
        <f>((Fórmulas!C$7/Fórmulas!D$7)/Fórmulas!E$7)*E617</f>
        <v>0</v>
      </c>
      <c r="H617" s="1">
        <f>G617*Fórmulas!B$9</f>
        <v>0</v>
      </c>
      <c r="I617" s="7">
        <f>E617/Fórmulas!E$7</f>
        <v>0</v>
      </c>
      <c r="J617" s="17">
        <f>G617*Fórmulas!B$10</f>
        <v>0</v>
      </c>
      <c r="K617" s="1">
        <v>1</v>
      </c>
      <c r="L617" s="1">
        <f>((Fórmulas!C$6/Fórmulas!D$6)/0.7)*K617</f>
        <v>2.4489795918367347</v>
      </c>
      <c r="M617" s="1">
        <f>L617*Fórmulas!D$6</f>
        <v>857.14285714285711</v>
      </c>
    </row>
    <row r="618" spans="1:13" s="24" customFormat="1" x14ac:dyDescent="0.25">
      <c r="B618" s="25"/>
      <c r="C618" s="25"/>
      <c r="D618" s="25"/>
      <c r="E618" s="24">
        <v>0</v>
      </c>
      <c r="G618" s="1">
        <f>((Fórmulas!C$7/Fórmulas!D$7)/Fórmulas!E$7)*E618</f>
        <v>0</v>
      </c>
      <c r="H618" s="1">
        <f>G618*Fórmulas!B$9</f>
        <v>0</v>
      </c>
      <c r="I618" s="7">
        <f>E618/Fórmulas!E$7</f>
        <v>0</v>
      </c>
      <c r="J618" s="17">
        <f>G618*Fórmulas!B$10</f>
        <v>0</v>
      </c>
      <c r="K618" s="1">
        <v>1</v>
      </c>
      <c r="L618" s="1">
        <f>((Fórmulas!C$6/Fórmulas!D$6)/0.7)*K618</f>
        <v>2.4489795918367347</v>
      </c>
      <c r="M618" s="1">
        <f>L618*Fórmulas!D$6</f>
        <v>857.14285714285711</v>
      </c>
    </row>
    <row r="619" spans="1:13" x14ac:dyDescent="0.25">
      <c r="A619" s="11" t="s">
        <v>569</v>
      </c>
      <c r="B619" s="25" t="s">
        <v>570</v>
      </c>
      <c r="C619" s="25"/>
      <c r="D619" s="25"/>
      <c r="E619" s="11">
        <v>1.2</v>
      </c>
      <c r="F619" s="11"/>
      <c r="G619" s="1">
        <f>((Fórmulas!C$7/Fórmulas!D$7)/Fórmulas!E$7)*E619</f>
        <v>3.4285714285714284</v>
      </c>
      <c r="H619" s="1">
        <f>G619*Fórmulas!B$9</f>
        <v>1200</v>
      </c>
      <c r="I619" s="7">
        <f>E619/Fórmulas!E$7</f>
        <v>2</v>
      </c>
      <c r="J619" s="17">
        <f>G619*Fórmulas!B$10</f>
        <v>2057.1428571428569</v>
      </c>
      <c r="K619" s="1">
        <v>1</v>
      </c>
      <c r="L619" s="1">
        <f>((Fórmulas!C$6/Fórmulas!D$6)/0.7)*K619</f>
        <v>2.4489795918367347</v>
      </c>
      <c r="M619" s="1">
        <f>L619*Fórmulas!D$6</f>
        <v>857.14285714285711</v>
      </c>
    </row>
    <row r="620" spans="1:13" x14ac:dyDescent="0.25">
      <c r="A620" s="11" t="s">
        <v>569</v>
      </c>
      <c r="B620" s="26" t="s">
        <v>576</v>
      </c>
      <c r="C620" s="26"/>
      <c r="D620" s="26"/>
      <c r="E620" s="11">
        <v>0.9</v>
      </c>
      <c r="F620" s="11"/>
      <c r="G620" s="1">
        <f>((Fórmulas!C$7/Fórmulas!D$7)/Fórmulas!E$7)*E620</f>
        <v>2.5714285714285716</v>
      </c>
      <c r="H620" s="1">
        <f>G620*Fórmulas!B$9</f>
        <v>900.00000000000011</v>
      </c>
      <c r="I620" s="7">
        <f>E620/Fórmulas!E$7</f>
        <v>1.5</v>
      </c>
      <c r="J620" s="17">
        <f>G620*Fórmulas!B$10</f>
        <v>1542.8571428571429</v>
      </c>
      <c r="K620" s="1">
        <v>1</v>
      </c>
      <c r="L620" s="1">
        <f>((Fórmulas!C$6/Fórmulas!D$6)/0.7)*K620</f>
        <v>2.4489795918367347</v>
      </c>
      <c r="M620" s="1">
        <f>L620*Fórmulas!D$6</f>
        <v>857.14285714285711</v>
      </c>
    </row>
    <row r="621" spans="1:13" x14ac:dyDescent="0.25">
      <c r="A621" s="11" t="s">
        <v>569</v>
      </c>
      <c r="B621" s="25" t="s">
        <v>577</v>
      </c>
      <c r="C621" s="25"/>
      <c r="D621" s="25"/>
      <c r="E621" s="11">
        <v>1.2</v>
      </c>
      <c r="F621" s="11"/>
      <c r="G621" s="1">
        <f>((Fórmulas!C$7/Fórmulas!D$7)/Fórmulas!E$7)*E621</f>
        <v>3.4285714285714284</v>
      </c>
      <c r="H621" s="1">
        <f>G621*Fórmulas!B$9</f>
        <v>1200</v>
      </c>
      <c r="I621" s="7">
        <f>E621/Fórmulas!E$7</f>
        <v>2</v>
      </c>
      <c r="J621" s="17">
        <f>G621*Fórmulas!B$10</f>
        <v>2057.1428571428569</v>
      </c>
      <c r="K621" s="1">
        <v>1</v>
      </c>
      <c r="L621" s="1">
        <f>((Fórmulas!C$6/Fórmulas!D$6)/0.7)*K621</f>
        <v>2.4489795918367347</v>
      </c>
      <c r="M621" s="1">
        <f>L621*Fórmulas!D$6</f>
        <v>857.14285714285711</v>
      </c>
    </row>
    <row r="622" spans="1:13" x14ac:dyDescent="0.25">
      <c r="A622" s="11" t="s">
        <v>569</v>
      </c>
      <c r="B622" s="25" t="s">
        <v>578</v>
      </c>
      <c r="C622" s="25"/>
      <c r="D622" s="25"/>
      <c r="E622" s="11">
        <v>0.9</v>
      </c>
      <c r="F622" s="11"/>
      <c r="G622" s="1">
        <f>((Fórmulas!C$7/Fórmulas!D$7)/Fórmulas!E$7)*E622</f>
        <v>2.5714285714285716</v>
      </c>
      <c r="H622" s="1">
        <f>G622*Fórmulas!B$9</f>
        <v>900.00000000000011</v>
      </c>
      <c r="I622" s="7">
        <f>E622/Fórmulas!E$7</f>
        <v>1.5</v>
      </c>
      <c r="J622" s="17">
        <f>G622*Fórmulas!B$10</f>
        <v>1542.8571428571429</v>
      </c>
      <c r="K622" s="1">
        <v>1</v>
      </c>
      <c r="L622" s="1">
        <f>((Fórmulas!C$6/Fórmulas!D$6)/0.7)*K622</f>
        <v>2.4489795918367347</v>
      </c>
      <c r="M622" s="1">
        <f>L622*Fórmulas!D$6</f>
        <v>857.14285714285711</v>
      </c>
    </row>
    <row r="623" spans="1:13" x14ac:dyDescent="0.25">
      <c r="A623" s="11"/>
      <c r="B623" s="26"/>
      <c r="C623" s="26"/>
      <c r="D623" s="26"/>
      <c r="E623" s="11">
        <v>0</v>
      </c>
      <c r="F623" s="11"/>
      <c r="G623" s="1">
        <f>((Fórmulas!C$7/Fórmulas!D$7)/Fórmulas!E$7)*E623</f>
        <v>0</v>
      </c>
      <c r="H623" s="1">
        <f>G623*Fórmulas!B$9</f>
        <v>0</v>
      </c>
      <c r="I623" s="7">
        <f>E623/Fórmulas!E$7</f>
        <v>0</v>
      </c>
      <c r="J623" s="17">
        <f>G623*Fórmulas!B$10</f>
        <v>0</v>
      </c>
      <c r="K623" s="1">
        <v>1</v>
      </c>
      <c r="L623" s="1">
        <f>((Fórmulas!C$6/Fórmulas!D$6)/0.7)*K623</f>
        <v>2.4489795918367347</v>
      </c>
      <c r="M623" s="1">
        <f>L623*Fórmulas!D$6</f>
        <v>857.14285714285711</v>
      </c>
    </row>
    <row r="624" spans="1:13" x14ac:dyDescent="0.25">
      <c r="A624" s="11"/>
      <c r="B624" s="25"/>
      <c r="C624" s="25"/>
      <c r="D624" s="25"/>
      <c r="E624" s="11">
        <v>0</v>
      </c>
      <c r="F624" s="11"/>
      <c r="G624" s="1">
        <f>((Fórmulas!C$7/Fórmulas!D$7)/Fórmulas!E$7)*E624</f>
        <v>0</v>
      </c>
      <c r="H624" s="1">
        <f>G624*Fórmulas!B$9</f>
        <v>0</v>
      </c>
      <c r="I624" s="7">
        <f>E624/Fórmulas!E$7</f>
        <v>0</v>
      </c>
      <c r="J624" s="17">
        <f>G624*Fórmulas!B$10</f>
        <v>0</v>
      </c>
      <c r="K624" s="1">
        <v>1</v>
      </c>
      <c r="L624" s="1">
        <f>((Fórmulas!C$6/Fórmulas!D$6)/0.7)*K624</f>
        <v>2.4489795918367347</v>
      </c>
      <c r="M624" s="1">
        <f>L624*Fórmulas!D$6</f>
        <v>857.14285714285711</v>
      </c>
    </row>
    <row r="625" spans="1:13" s="24" customFormat="1" x14ac:dyDescent="0.25">
      <c r="A625" s="24" t="s">
        <v>888</v>
      </c>
      <c r="B625" s="25" t="s">
        <v>889</v>
      </c>
      <c r="C625" s="25"/>
      <c r="D625" s="25"/>
      <c r="E625" s="24">
        <v>1.2</v>
      </c>
      <c r="G625" s="1">
        <f>((Fórmulas!C$7/Fórmulas!D$7)/Fórmulas!E$7)*E625</f>
        <v>3.4285714285714284</v>
      </c>
      <c r="H625" s="1">
        <f>G625*Fórmulas!B$9</f>
        <v>1200</v>
      </c>
      <c r="I625" s="7">
        <f>E625/Fórmulas!E$7</f>
        <v>2</v>
      </c>
      <c r="J625" s="17">
        <f>G625*Fórmulas!B$10</f>
        <v>2057.1428571428569</v>
      </c>
      <c r="K625" s="1">
        <v>1</v>
      </c>
      <c r="L625" s="1">
        <f>((Fórmulas!C$6/Fórmulas!D$6)/0.7)*K625</f>
        <v>2.4489795918367347</v>
      </c>
      <c r="M625" s="1">
        <f>L625*Fórmulas!D$6</f>
        <v>857.14285714285711</v>
      </c>
    </row>
    <row r="626" spans="1:13" s="24" customFormat="1" x14ac:dyDescent="0.25">
      <c r="B626" s="25"/>
      <c r="C626" s="25"/>
      <c r="D626" s="25"/>
      <c r="E626" s="24">
        <v>0</v>
      </c>
      <c r="G626" s="1">
        <f>((Fórmulas!C$7/Fórmulas!D$7)/Fórmulas!E$7)*E626</f>
        <v>0</v>
      </c>
      <c r="H626" s="1">
        <f>G626*Fórmulas!B$9</f>
        <v>0</v>
      </c>
      <c r="I626" s="7">
        <f>E626/Fórmulas!E$7</f>
        <v>0</v>
      </c>
      <c r="J626" s="17">
        <f>G626*Fórmulas!B$10</f>
        <v>0</v>
      </c>
      <c r="K626" s="1">
        <v>1</v>
      </c>
      <c r="L626" s="1">
        <f>((Fórmulas!C$6/Fórmulas!D$6)/0.7)*K626</f>
        <v>2.4489795918367347</v>
      </c>
      <c r="M626" s="1">
        <f>L626*Fórmulas!D$6</f>
        <v>857.14285714285711</v>
      </c>
    </row>
    <row r="627" spans="1:13" s="24" customFormat="1" x14ac:dyDescent="0.25">
      <c r="B627" s="25"/>
      <c r="C627" s="25"/>
      <c r="D627" s="25"/>
      <c r="E627" s="24">
        <v>0</v>
      </c>
      <c r="G627" s="1">
        <f>((Fórmulas!C$7/Fórmulas!D$7)/Fórmulas!E$7)*E627</f>
        <v>0</v>
      </c>
      <c r="H627" s="1">
        <f>G627*Fórmulas!B$9</f>
        <v>0</v>
      </c>
      <c r="I627" s="7">
        <f>E627/Fórmulas!E$7</f>
        <v>0</v>
      </c>
      <c r="J627" s="17">
        <f>G627*Fórmulas!B$10</f>
        <v>0</v>
      </c>
      <c r="K627" s="1">
        <v>1</v>
      </c>
      <c r="L627" s="1">
        <f>((Fórmulas!C$6/Fórmulas!D$6)/0.7)*K627</f>
        <v>2.4489795918367347</v>
      </c>
      <c r="M627" s="1">
        <f>L627*Fórmulas!D$6</f>
        <v>857.14285714285711</v>
      </c>
    </row>
    <row r="628" spans="1:13" s="24" customFormat="1" x14ac:dyDescent="0.25">
      <c r="A628" s="24" t="s">
        <v>896</v>
      </c>
      <c r="B628" s="25" t="s">
        <v>897</v>
      </c>
      <c r="C628" s="25"/>
      <c r="D628" s="25"/>
      <c r="E628" s="24">
        <v>1.2</v>
      </c>
      <c r="G628" s="1">
        <f>((Fórmulas!C$7/Fórmulas!D$7)/Fórmulas!E$7)*E628</f>
        <v>3.4285714285714284</v>
      </c>
      <c r="H628" s="1">
        <f>G628*Fórmulas!B$9</f>
        <v>1200</v>
      </c>
      <c r="I628" s="7">
        <f>E628/Fórmulas!E$7</f>
        <v>2</v>
      </c>
      <c r="J628" s="17">
        <f>G628*Fórmulas!B$10</f>
        <v>2057.1428571428569</v>
      </c>
      <c r="K628" s="1">
        <v>1</v>
      </c>
      <c r="L628" s="1">
        <f>((Fórmulas!C$6/Fórmulas!D$6)/0.7)*K628</f>
        <v>2.4489795918367347</v>
      </c>
      <c r="M628" s="1">
        <f>L628*Fórmulas!D$6</f>
        <v>857.14285714285711</v>
      </c>
    </row>
    <row r="629" spans="1:13" s="24" customFormat="1" x14ac:dyDescent="0.25">
      <c r="A629" s="24" t="s">
        <v>896</v>
      </c>
      <c r="B629" s="25" t="s">
        <v>898</v>
      </c>
      <c r="C629" s="25"/>
      <c r="D629" s="25"/>
      <c r="E629" s="24">
        <v>0.6</v>
      </c>
      <c r="G629" s="1">
        <f>((Fórmulas!C$7/Fórmulas!D$7)/Fórmulas!E$7)*E629</f>
        <v>1.7142857142857142</v>
      </c>
      <c r="H629" s="1">
        <f>G629*Fórmulas!B$9</f>
        <v>600</v>
      </c>
      <c r="I629" s="7">
        <f>E629/Fórmulas!E$7</f>
        <v>1</v>
      </c>
      <c r="J629" s="17">
        <f>G629*Fórmulas!B$10</f>
        <v>1028.5714285714284</v>
      </c>
      <c r="K629" s="1">
        <v>1</v>
      </c>
      <c r="L629" s="1">
        <f>((Fórmulas!C$6/Fórmulas!D$6)/0.7)*K629</f>
        <v>2.4489795918367347</v>
      </c>
      <c r="M629" s="1">
        <f>L629*Fórmulas!D$6</f>
        <v>857.14285714285711</v>
      </c>
    </row>
    <row r="630" spans="1:13" s="24" customFormat="1" x14ac:dyDescent="0.25">
      <c r="A630" s="24" t="s">
        <v>896</v>
      </c>
      <c r="B630" s="25" t="s">
        <v>899</v>
      </c>
      <c r="C630" s="25"/>
      <c r="D630" s="25"/>
      <c r="E630" s="24">
        <v>1.2</v>
      </c>
      <c r="G630" s="1">
        <f>((Fórmulas!C$7/Fórmulas!D$7)/Fórmulas!E$7)*E630</f>
        <v>3.4285714285714284</v>
      </c>
      <c r="H630" s="1">
        <f>G630*Fórmulas!B$9</f>
        <v>1200</v>
      </c>
      <c r="I630" s="7">
        <f>E630/Fórmulas!E$7</f>
        <v>2</v>
      </c>
      <c r="J630" s="17">
        <f>G630*Fórmulas!B$10</f>
        <v>2057.1428571428569</v>
      </c>
      <c r="K630" s="1">
        <v>1</v>
      </c>
      <c r="L630" s="1">
        <f>((Fórmulas!C$6/Fórmulas!D$6)/0.7)*K630</f>
        <v>2.4489795918367347</v>
      </c>
      <c r="M630" s="1">
        <f>L630*Fórmulas!D$6</f>
        <v>857.14285714285711</v>
      </c>
    </row>
    <row r="631" spans="1:13" s="24" customFormat="1" x14ac:dyDescent="0.25">
      <c r="B631" s="25" t="s">
        <v>900</v>
      </c>
      <c r="C631" s="25"/>
      <c r="D631" s="25"/>
      <c r="E631" s="24">
        <v>0.6</v>
      </c>
      <c r="G631" s="1">
        <f>((Fórmulas!C$7/Fórmulas!D$7)/Fórmulas!E$7)*E631</f>
        <v>1.7142857142857142</v>
      </c>
      <c r="H631" s="1">
        <f>G631*Fórmulas!B$9</f>
        <v>600</v>
      </c>
      <c r="I631" s="7">
        <f>E631/Fórmulas!E$7</f>
        <v>1</v>
      </c>
      <c r="J631" s="17">
        <f>G631*Fórmulas!B$10</f>
        <v>1028.5714285714284</v>
      </c>
      <c r="K631" s="1">
        <v>1</v>
      </c>
      <c r="L631" s="1">
        <f>((Fórmulas!C$6/Fórmulas!D$6)/0.7)*K631</f>
        <v>2.4489795918367347</v>
      </c>
      <c r="M631" s="1">
        <f>L631*Fórmulas!D$6</f>
        <v>857.14285714285711</v>
      </c>
    </row>
    <row r="632" spans="1:13" s="24" customFormat="1" x14ac:dyDescent="0.25">
      <c r="B632" s="25" t="s">
        <v>901</v>
      </c>
      <c r="C632" s="25"/>
      <c r="D632" s="25"/>
      <c r="E632" s="24">
        <v>0.6</v>
      </c>
      <c r="G632" s="1">
        <f>((Fórmulas!C$7/Fórmulas!D$7)/Fórmulas!E$7)*E632</f>
        <v>1.7142857142857142</v>
      </c>
      <c r="H632" s="1">
        <f>G632*Fórmulas!B$9</f>
        <v>600</v>
      </c>
      <c r="I632" s="7">
        <f>E632/Fórmulas!E$7</f>
        <v>1</v>
      </c>
      <c r="J632" s="17">
        <f>G632*Fórmulas!B$10</f>
        <v>1028.5714285714284</v>
      </c>
      <c r="K632" s="1">
        <v>1</v>
      </c>
      <c r="L632" s="1">
        <f>((Fórmulas!C$6/Fórmulas!D$6)/0.7)*K632</f>
        <v>2.4489795918367347</v>
      </c>
      <c r="M632" s="1">
        <f>L632*Fórmulas!D$6</f>
        <v>857.14285714285711</v>
      </c>
    </row>
    <row r="633" spans="1:13" s="24" customFormat="1" x14ac:dyDescent="0.25">
      <c r="B633" s="25"/>
      <c r="C633" s="25"/>
      <c r="D633" s="25"/>
      <c r="E633" s="24">
        <v>0</v>
      </c>
      <c r="G633" s="1">
        <f>((Fórmulas!C$7/Fórmulas!D$7)/Fórmulas!E$7)*E633</f>
        <v>0</v>
      </c>
      <c r="H633" s="1">
        <f>G633*Fórmulas!B$9</f>
        <v>0</v>
      </c>
      <c r="I633" s="7">
        <f>E633/Fórmulas!E$7</f>
        <v>0</v>
      </c>
      <c r="J633" s="17">
        <f>G633*Fórmulas!B$10</f>
        <v>0</v>
      </c>
      <c r="K633" s="1">
        <v>1</v>
      </c>
      <c r="L633" s="1">
        <f>((Fórmulas!C$6/Fórmulas!D$6)/0.7)*K633</f>
        <v>2.4489795918367347</v>
      </c>
      <c r="M633" s="1">
        <f>L633*Fórmulas!D$6</f>
        <v>857.14285714285711</v>
      </c>
    </row>
    <row r="634" spans="1:13" s="24" customFormat="1" x14ac:dyDescent="0.25">
      <c r="B634" s="25"/>
      <c r="C634" s="25"/>
      <c r="D634" s="25"/>
      <c r="E634" s="24">
        <v>0</v>
      </c>
      <c r="G634" s="1">
        <f>((Fórmulas!C$7/Fórmulas!D$7)/Fórmulas!E$7)*E634</f>
        <v>0</v>
      </c>
      <c r="H634" s="1">
        <f>G634*Fórmulas!B$9</f>
        <v>0</v>
      </c>
      <c r="I634" s="7">
        <f>E634/Fórmulas!E$7</f>
        <v>0</v>
      </c>
      <c r="J634" s="17">
        <f>G634*Fórmulas!B$10</f>
        <v>0</v>
      </c>
      <c r="K634" s="1">
        <v>1</v>
      </c>
      <c r="L634" s="1">
        <f>((Fórmulas!C$6/Fórmulas!D$6)/0.7)*K634</f>
        <v>2.4489795918367347</v>
      </c>
      <c r="M634" s="1">
        <f>L634*Fórmulas!D$6</f>
        <v>857.14285714285711</v>
      </c>
    </row>
    <row r="635" spans="1:13" s="24" customFormat="1" x14ac:dyDescent="0.25">
      <c r="B635" s="25"/>
      <c r="C635" s="25"/>
      <c r="D635" s="25"/>
      <c r="E635" s="24">
        <v>0</v>
      </c>
      <c r="G635" s="1">
        <f>((Fórmulas!C$7/Fórmulas!D$7)/Fórmulas!E$7)*E635</f>
        <v>0</v>
      </c>
      <c r="H635" s="1">
        <f>G635*Fórmulas!B$9</f>
        <v>0</v>
      </c>
      <c r="I635" s="7">
        <f>E635/Fórmulas!E$7</f>
        <v>0</v>
      </c>
      <c r="J635" s="17">
        <f>G635*Fórmulas!B$10</f>
        <v>0</v>
      </c>
      <c r="K635" s="1">
        <v>1</v>
      </c>
      <c r="L635" s="1">
        <f>((Fórmulas!C$6/Fórmulas!D$6)/0.7)*K635</f>
        <v>2.4489795918367347</v>
      </c>
      <c r="M635" s="1">
        <f>L635*Fórmulas!D$6</f>
        <v>857.14285714285711</v>
      </c>
    </row>
    <row r="636" spans="1:13" s="24" customFormat="1" x14ac:dyDescent="0.25">
      <c r="B636" s="25"/>
      <c r="C636" s="25"/>
      <c r="D636" s="25"/>
      <c r="E636" s="24">
        <v>0</v>
      </c>
      <c r="G636" s="1">
        <f>((Fórmulas!C$7/Fórmulas!D$7)/Fórmulas!E$7)*E636</f>
        <v>0</v>
      </c>
      <c r="H636" s="1">
        <f>G636*Fórmulas!B$9</f>
        <v>0</v>
      </c>
      <c r="I636" s="7">
        <f>E636/Fórmulas!E$7</f>
        <v>0</v>
      </c>
      <c r="J636" s="17">
        <f>G636*Fórmulas!B$10</f>
        <v>0</v>
      </c>
      <c r="K636" s="1">
        <v>1</v>
      </c>
      <c r="L636" s="1">
        <f>((Fórmulas!C$6/Fórmulas!D$6)/0.7)*K636</f>
        <v>2.4489795918367347</v>
      </c>
      <c r="M636" s="1">
        <f>L636*Fórmulas!D$6</f>
        <v>857.14285714285711</v>
      </c>
    </row>
    <row r="637" spans="1:13" x14ac:dyDescent="0.25">
      <c r="A637" s="11"/>
      <c r="B637" s="28" t="s">
        <v>659</v>
      </c>
      <c r="C637" s="28"/>
      <c r="D637" s="28"/>
      <c r="E637" s="11"/>
      <c r="F637" s="11"/>
      <c r="G637" s="1">
        <f>((Fórmulas!C$7/Fórmulas!D$7)/Fórmulas!E$7)*E637</f>
        <v>0</v>
      </c>
      <c r="H637" s="1">
        <f>G637*Fórmulas!B$9</f>
        <v>0</v>
      </c>
      <c r="I637" s="7">
        <f>E637/Fórmulas!E$7</f>
        <v>0</v>
      </c>
      <c r="J637" s="17">
        <f>G637*Fórmulas!B$10</f>
        <v>0</v>
      </c>
      <c r="K637" s="1"/>
      <c r="L637" s="1"/>
      <c r="M637" s="1"/>
    </row>
    <row r="638" spans="1:13" x14ac:dyDescent="0.25">
      <c r="A638" s="11" t="s">
        <v>660</v>
      </c>
      <c r="B638" s="25" t="s">
        <v>661</v>
      </c>
      <c r="C638" s="25"/>
      <c r="D638" s="25"/>
      <c r="E638" s="11">
        <v>5.3</v>
      </c>
      <c r="F638" s="11"/>
      <c r="G638" s="1">
        <f>((Fórmulas!C$7/Fórmulas!D$7)/Fórmulas!E$7)*E638</f>
        <v>15.142857142857142</v>
      </c>
      <c r="H638" s="1">
        <f>G638*Fórmulas!B$9</f>
        <v>5300</v>
      </c>
      <c r="I638" s="7">
        <f>E638/Fórmulas!E$7</f>
        <v>8.8333333333333339</v>
      </c>
      <c r="J638" s="17">
        <f>G638*Fórmulas!B$10</f>
        <v>9085.7142857142862</v>
      </c>
      <c r="K638" s="1">
        <v>1</v>
      </c>
      <c r="L638" s="1">
        <f>((Fórmulas!C$6/Fórmulas!D$6)/0.7)*K638</f>
        <v>2.4489795918367347</v>
      </c>
      <c r="M638" s="1">
        <f>L638*Fórmulas!D$6</f>
        <v>857.14285714285711</v>
      </c>
    </row>
    <row r="639" spans="1:13" x14ac:dyDescent="0.25">
      <c r="A639" s="11"/>
      <c r="B639" s="26"/>
      <c r="C639" s="26"/>
      <c r="D639" s="26"/>
      <c r="E639" s="11">
        <v>0</v>
      </c>
      <c r="F639" s="11"/>
      <c r="G639" s="1">
        <f>((Fórmulas!C$7/Fórmulas!D$7)/Fórmulas!E$7)*E639</f>
        <v>0</v>
      </c>
      <c r="H639" s="1">
        <f>G639*Fórmulas!B$9</f>
        <v>0</v>
      </c>
      <c r="I639" s="7">
        <f>E639/Fórmulas!E$7</f>
        <v>0</v>
      </c>
      <c r="J639" s="17">
        <f>G639*Fórmulas!B$10</f>
        <v>0</v>
      </c>
      <c r="K639" s="1">
        <v>1</v>
      </c>
      <c r="L639" s="1">
        <f>((Fórmulas!C$6/Fórmulas!D$6)/0.7)*K639</f>
        <v>2.4489795918367347</v>
      </c>
      <c r="M639" s="1">
        <f>L639*Fórmulas!D$6</f>
        <v>857.14285714285711</v>
      </c>
    </row>
    <row r="640" spans="1:13" x14ac:dyDescent="0.25">
      <c r="A640" s="11"/>
      <c r="B640" s="26"/>
      <c r="C640" s="26"/>
      <c r="D640" s="26"/>
      <c r="E640" s="11">
        <v>0</v>
      </c>
      <c r="F640" s="11"/>
      <c r="G640" s="1">
        <f>((Fórmulas!C$7/Fórmulas!D$7)/Fórmulas!E$7)*E640</f>
        <v>0</v>
      </c>
      <c r="H640" s="1">
        <f>G640*Fórmulas!B$9</f>
        <v>0</v>
      </c>
      <c r="I640" s="7">
        <f>E640/Fórmulas!E$7</f>
        <v>0</v>
      </c>
      <c r="J640" s="17">
        <f>G640*Fórmulas!B$10</f>
        <v>0</v>
      </c>
      <c r="K640" s="1">
        <v>1</v>
      </c>
      <c r="L640" s="1">
        <f>((Fórmulas!C$6/Fórmulas!D$6)/0.7)*K640</f>
        <v>2.4489795918367347</v>
      </c>
      <c r="M640" s="1">
        <f>L640*Fórmulas!D$6</f>
        <v>857.14285714285711</v>
      </c>
    </row>
    <row r="641" spans="1:13" x14ac:dyDescent="0.25">
      <c r="A641" s="11"/>
      <c r="B641" s="26"/>
      <c r="C641" s="26"/>
      <c r="D641" s="26"/>
      <c r="E641" s="11">
        <v>0</v>
      </c>
      <c r="F641" s="11"/>
      <c r="G641" s="1">
        <f>((Fórmulas!C$7/Fórmulas!D$7)/Fórmulas!E$7)*E641</f>
        <v>0</v>
      </c>
      <c r="H641" s="1">
        <f>G641*Fórmulas!B$9</f>
        <v>0</v>
      </c>
      <c r="I641" s="7">
        <f>E641/Fórmulas!E$7</f>
        <v>0</v>
      </c>
      <c r="J641" s="17">
        <f>G641*Fórmulas!B$10</f>
        <v>0</v>
      </c>
      <c r="K641" s="1">
        <v>1</v>
      </c>
      <c r="L641" s="1">
        <f>((Fórmulas!C$6/Fórmulas!D$6)/0.7)*K641</f>
        <v>2.4489795918367347</v>
      </c>
      <c r="M641" s="1">
        <f>L641*Fórmulas!D$6</f>
        <v>857.14285714285711</v>
      </c>
    </row>
    <row r="642" spans="1:13" x14ac:dyDescent="0.25">
      <c r="A642" s="11"/>
      <c r="B642" s="26"/>
      <c r="C642" s="26"/>
      <c r="D642" s="26"/>
      <c r="E642" s="11">
        <v>0</v>
      </c>
      <c r="F642" s="11"/>
      <c r="G642" s="1">
        <f>((Fórmulas!C$7/Fórmulas!D$7)/Fórmulas!E$7)*E642</f>
        <v>0</v>
      </c>
      <c r="H642" s="1">
        <f>G642*Fórmulas!B$9</f>
        <v>0</v>
      </c>
      <c r="I642" s="7">
        <f>E642/Fórmulas!E$7</f>
        <v>0</v>
      </c>
      <c r="J642" s="17">
        <f>G642*Fórmulas!B$10</f>
        <v>0</v>
      </c>
      <c r="K642" s="1">
        <v>1</v>
      </c>
      <c r="L642" s="1">
        <f>((Fórmulas!C$6/Fórmulas!D$6)/0.7)*K642</f>
        <v>2.4489795918367347</v>
      </c>
      <c r="M642" s="1">
        <f>L642*Fórmulas!D$6</f>
        <v>857.14285714285711</v>
      </c>
    </row>
    <row r="643" spans="1:13" x14ac:dyDescent="0.25">
      <c r="A643" s="11"/>
      <c r="B643" s="26"/>
      <c r="C643" s="26"/>
      <c r="D643" s="26"/>
      <c r="E643" s="11">
        <v>0</v>
      </c>
      <c r="F643" s="11"/>
      <c r="G643" s="1">
        <f>((Fórmulas!C$7/Fórmulas!D$7)/Fórmulas!E$7)*E643</f>
        <v>0</v>
      </c>
      <c r="H643" s="1">
        <f>G643*Fórmulas!B$9</f>
        <v>0</v>
      </c>
      <c r="I643" s="7">
        <f>E643/Fórmulas!E$7</f>
        <v>0</v>
      </c>
      <c r="J643" s="17">
        <f>G643*Fórmulas!B$10</f>
        <v>0</v>
      </c>
      <c r="K643" s="1">
        <v>1</v>
      </c>
      <c r="L643" s="1">
        <f>((Fórmulas!C$6/Fórmulas!D$6)/0.7)*K643</f>
        <v>2.4489795918367347</v>
      </c>
      <c r="M643" s="1">
        <f>L643*Fórmulas!D$6</f>
        <v>857.14285714285711</v>
      </c>
    </row>
    <row r="644" spans="1:13" x14ac:dyDescent="0.25">
      <c r="A644" s="11"/>
      <c r="B644" s="26"/>
      <c r="C644" s="26"/>
      <c r="D644" s="26"/>
      <c r="E644" s="11">
        <v>0</v>
      </c>
      <c r="F644" s="11"/>
      <c r="G644" s="1">
        <f>((Fórmulas!C$7/Fórmulas!D$7)/Fórmulas!E$7)*E644</f>
        <v>0</v>
      </c>
      <c r="H644" s="1">
        <f>G644*Fórmulas!B$9</f>
        <v>0</v>
      </c>
      <c r="I644" s="7">
        <f>E644/Fórmulas!E$7</f>
        <v>0</v>
      </c>
      <c r="J644" s="17">
        <f>G644*Fórmulas!B$10</f>
        <v>0</v>
      </c>
      <c r="K644" s="1">
        <v>1</v>
      </c>
      <c r="L644" s="1">
        <f>((Fórmulas!C$6/Fórmulas!D$6)/0.7)*K644</f>
        <v>2.4489795918367347</v>
      </c>
      <c r="M644" s="1">
        <f>L644*Fórmulas!D$6</f>
        <v>857.14285714285711</v>
      </c>
    </row>
    <row r="645" spans="1:13" x14ac:dyDescent="0.25">
      <c r="A645" s="11"/>
      <c r="B645" s="26"/>
      <c r="C645" s="26"/>
      <c r="D645" s="26"/>
      <c r="E645" s="11">
        <v>0</v>
      </c>
      <c r="F645" s="11"/>
      <c r="G645" s="1">
        <f>((Fórmulas!C$7/Fórmulas!D$7)/Fórmulas!E$7)*E645</f>
        <v>0</v>
      </c>
      <c r="H645" s="1">
        <f>G645*Fórmulas!B$9</f>
        <v>0</v>
      </c>
      <c r="I645" s="7">
        <f>E645/Fórmulas!E$7</f>
        <v>0</v>
      </c>
      <c r="J645" s="17">
        <f>G645*Fórmulas!B$10</f>
        <v>0</v>
      </c>
      <c r="K645" s="1">
        <v>1</v>
      </c>
      <c r="L645" s="1">
        <f>((Fórmulas!C$6/Fórmulas!D$6)/0.7)*K645</f>
        <v>2.4489795918367347</v>
      </c>
      <c r="M645" s="1">
        <f>L645*Fórmulas!D$6</f>
        <v>857.14285714285711</v>
      </c>
    </row>
    <row r="646" spans="1:13" x14ac:dyDescent="0.25">
      <c r="A646" s="11"/>
      <c r="B646" s="26"/>
      <c r="C646" s="26"/>
      <c r="D646" s="26"/>
      <c r="E646" s="11">
        <v>0</v>
      </c>
      <c r="F646" s="11"/>
      <c r="G646" s="1">
        <f>((Fórmulas!C$7/Fórmulas!D$7)/Fórmulas!E$7)*E646</f>
        <v>0</v>
      </c>
      <c r="H646" s="1">
        <f>G646*Fórmulas!B$9</f>
        <v>0</v>
      </c>
      <c r="I646" s="7">
        <f>E646/Fórmulas!E$7</f>
        <v>0</v>
      </c>
      <c r="J646" s="17">
        <f>G646*Fórmulas!B$10</f>
        <v>0</v>
      </c>
      <c r="K646" s="1">
        <v>1</v>
      </c>
      <c r="L646" s="1">
        <f>((Fórmulas!C$6/Fórmulas!D$6)/0.7)*K646</f>
        <v>2.4489795918367347</v>
      </c>
      <c r="M646" s="1">
        <f>L646*Fórmulas!D$6</f>
        <v>857.14285714285711</v>
      </c>
    </row>
    <row r="647" spans="1:13" x14ac:dyDescent="0.25">
      <c r="A647" s="11"/>
      <c r="B647" s="26"/>
      <c r="C647" s="26"/>
      <c r="D647" s="26"/>
      <c r="E647" s="11">
        <v>0</v>
      </c>
      <c r="F647" s="11"/>
      <c r="G647" s="1">
        <f>((Fórmulas!C$7/Fórmulas!D$7)/Fórmulas!E$7)*E647</f>
        <v>0</v>
      </c>
      <c r="H647" s="1">
        <f>G647*Fórmulas!B$9</f>
        <v>0</v>
      </c>
      <c r="I647" s="7">
        <f>E647/Fórmulas!E$7</f>
        <v>0</v>
      </c>
      <c r="J647" s="17">
        <f>G647*Fórmulas!B$10</f>
        <v>0</v>
      </c>
      <c r="K647" s="1">
        <v>1</v>
      </c>
      <c r="L647" s="1">
        <f>((Fórmulas!C$6/Fórmulas!D$6)/0.7)*K647</f>
        <v>2.4489795918367347</v>
      </c>
      <c r="M647" s="1">
        <f>L647*Fórmulas!D$6</f>
        <v>857.14285714285711</v>
      </c>
    </row>
    <row r="648" spans="1:13" x14ac:dyDescent="0.25">
      <c r="A648" s="22"/>
      <c r="B648" s="28" t="s">
        <v>842</v>
      </c>
      <c r="C648" s="28"/>
      <c r="D648" s="28"/>
      <c r="E648" s="22"/>
      <c r="F648" s="22"/>
      <c r="G648" s="1">
        <f>((Fórmulas!C$7/Fórmulas!D$7)/Fórmulas!E$7)*E648</f>
        <v>0</v>
      </c>
      <c r="H648" s="1">
        <f>G648*Fórmulas!B$9</f>
        <v>0</v>
      </c>
      <c r="I648" s="7">
        <f>E648/Fórmulas!E$7</f>
        <v>0</v>
      </c>
      <c r="J648" s="17">
        <f>G648*Fórmulas!B$10</f>
        <v>0</v>
      </c>
      <c r="K648" s="1">
        <v>1</v>
      </c>
      <c r="L648" s="1">
        <f>((Fórmulas!C$6/Fórmulas!D$6)/0.7)*K648</f>
        <v>2.4489795918367347</v>
      </c>
      <c r="M648" s="1">
        <f>L648*Fórmulas!D$6</f>
        <v>857.14285714285711</v>
      </c>
    </row>
    <row r="649" spans="1:13" x14ac:dyDescent="0.25">
      <c r="A649" s="11"/>
      <c r="B649" s="26"/>
      <c r="C649" s="26"/>
      <c r="D649" s="26"/>
      <c r="E649" s="11">
        <v>0</v>
      </c>
      <c r="F649" s="11"/>
      <c r="G649" s="1">
        <f>((Fórmulas!C$7/Fórmulas!D$7)/Fórmulas!E$7)*E649</f>
        <v>0</v>
      </c>
      <c r="H649" s="1">
        <f>G649*Fórmulas!B$9</f>
        <v>0</v>
      </c>
      <c r="I649" s="7">
        <f>E649/Fórmulas!E$7</f>
        <v>0</v>
      </c>
      <c r="J649" s="17">
        <f>G649*Fórmulas!B$10</f>
        <v>0</v>
      </c>
      <c r="K649" s="1">
        <v>1</v>
      </c>
      <c r="L649" s="1">
        <f>((Fórmulas!C$6/Fórmulas!D$6)/0.7)*K649</f>
        <v>2.4489795918367347</v>
      </c>
      <c r="M649" s="1">
        <f>L649*Fórmulas!D$6</f>
        <v>857.14285714285711</v>
      </c>
    </row>
    <row r="650" spans="1:13" x14ac:dyDescent="0.25">
      <c r="A650" s="11" t="s">
        <v>829</v>
      </c>
      <c r="B650" s="26" t="s">
        <v>830</v>
      </c>
      <c r="C650" s="26"/>
      <c r="D650" s="26"/>
      <c r="E650" s="11">
        <v>3</v>
      </c>
      <c r="F650" s="11"/>
      <c r="G650" s="1">
        <f>((Fórmulas!C$7/Fórmulas!D$7)/Fórmulas!E$7)*E650</f>
        <v>8.5714285714285712</v>
      </c>
      <c r="H650" s="1">
        <f>G650*Fórmulas!B$9</f>
        <v>3000</v>
      </c>
      <c r="I650" s="7">
        <f>E650/Fórmulas!E$7</f>
        <v>5</v>
      </c>
      <c r="J650" s="17">
        <f>G650*Fórmulas!B$10</f>
        <v>5142.8571428571431</v>
      </c>
      <c r="K650" s="1">
        <v>1</v>
      </c>
      <c r="L650" s="1">
        <f>((Fórmulas!C$6/Fórmulas!D$6)/0.7)*K650</f>
        <v>2.4489795918367347</v>
      </c>
      <c r="M650" s="1">
        <f>L650*Fórmulas!D$6</f>
        <v>857.14285714285711</v>
      </c>
    </row>
    <row r="651" spans="1:13" x14ac:dyDescent="0.25">
      <c r="A651" s="11" t="s">
        <v>829</v>
      </c>
      <c r="B651" s="26" t="s">
        <v>845</v>
      </c>
      <c r="C651" s="26"/>
      <c r="D651" s="26"/>
      <c r="E651" s="11">
        <v>1.5</v>
      </c>
      <c r="F651" s="11"/>
      <c r="G651" s="1">
        <f>((Fórmulas!C$7/Fórmulas!D$7)/Fórmulas!E$7)*E651</f>
        <v>4.2857142857142856</v>
      </c>
      <c r="H651" s="1">
        <f>G651*Fórmulas!B$9</f>
        <v>1500</v>
      </c>
      <c r="I651" s="7">
        <f>E651/Fórmulas!E$7</f>
        <v>2.5</v>
      </c>
      <c r="J651" s="17">
        <f>G651*Fórmulas!B$10</f>
        <v>2571.4285714285716</v>
      </c>
      <c r="K651" s="1">
        <v>1</v>
      </c>
      <c r="L651" s="1">
        <f>((Fórmulas!C$6/Fórmulas!D$6)/0.7)*K651</f>
        <v>2.4489795918367347</v>
      </c>
      <c r="M651" s="1">
        <f>L651*Fórmulas!D$6</f>
        <v>857.14285714285711</v>
      </c>
    </row>
    <row r="652" spans="1:13" x14ac:dyDescent="0.25">
      <c r="A652" s="24" t="s">
        <v>829</v>
      </c>
      <c r="B652" s="25" t="s">
        <v>846</v>
      </c>
      <c r="C652" s="25"/>
      <c r="D652" s="25"/>
      <c r="E652" s="11">
        <v>1.8</v>
      </c>
      <c r="F652" s="11"/>
      <c r="G652" s="1">
        <f>((Fórmulas!C$7/Fórmulas!D$7)/Fórmulas!E$7)*E652</f>
        <v>5.1428571428571432</v>
      </c>
      <c r="H652" s="1">
        <f>G652*Fórmulas!B$9</f>
        <v>1800.0000000000002</v>
      </c>
      <c r="I652" s="7">
        <f>E652/Fórmulas!E$7</f>
        <v>3</v>
      </c>
      <c r="J652" s="17">
        <f>G652*Fórmulas!B$10</f>
        <v>3085.7142857142858</v>
      </c>
      <c r="K652" s="1">
        <v>1</v>
      </c>
      <c r="L652" s="1">
        <f>((Fórmulas!C$6/Fórmulas!D$6)/0.7)*K652</f>
        <v>2.4489795918367347</v>
      </c>
      <c r="M652" s="1">
        <f>L652*Fórmulas!D$6</f>
        <v>857.14285714285711</v>
      </c>
    </row>
    <row r="653" spans="1:13" x14ac:dyDescent="0.25">
      <c r="A653" s="24" t="s">
        <v>829</v>
      </c>
      <c r="B653" s="25" t="s">
        <v>847</v>
      </c>
      <c r="C653" s="25"/>
      <c r="D653" s="25"/>
      <c r="E653" s="11">
        <v>1.8</v>
      </c>
      <c r="F653" s="11"/>
      <c r="G653" s="1">
        <f>((Fórmulas!C$7/Fórmulas!D$7)/Fórmulas!E$7)*E653</f>
        <v>5.1428571428571432</v>
      </c>
      <c r="H653" s="1">
        <f>G653*Fórmulas!B$9</f>
        <v>1800.0000000000002</v>
      </c>
      <c r="I653" s="7">
        <f>E653/Fórmulas!E$7</f>
        <v>3</v>
      </c>
      <c r="J653" s="17">
        <f>G653*Fórmulas!B$10</f>
        <v>3085.7142857142858</v>
      </c>
      <c r="K653" s="1">
        <v>1</v>
      </c>
      <c r="L653" s="1">
        <f>((Fórmulas!C$6/Fórmulas!D$6)/0.7)*K653</f>
        <v>2.4489795918367347</v>
      </c>
      <c r="M653" s="1">
        <f>L653*Fórmulas!D$6</f>
        <v>857.14285714285711</v>
      </c>
    </row>
    <row r="654" spans="1:13" x14ac:dyDescent="0.25">
      <c r="A654" s="24" t="s">
        <v>829</v>
      </c>
      <c r="B654" s="25" t="s">
        <v>865</v>
      </c>
      <c r="C654" s="25"/>
      <c r="D654" s="25"/>
      <c r="E654" s="22">
        <v>1.8</v>
      </c>
      <c r="F654" s="22"/>
      <c r="G654" s="1">
        <f>((Fórmulas!C$7/Fórmulas!D$7)/Fórmulas!E$7)*E654</f>
        <v>5.1428571428571432</v>
      </c>
      <c r="H654" s="1">
        <f>G654*Fórmulas!B$9</f>
        <v>1800.0000000000002</v>
      </c>
      <c r="I654" s="7">
        <f>E654/Fórmulas!E$7</f>
        <v>3</v>
      </c>
      <c r="J654" s="17">
        <f>G654*Fórmulas!B$10</f>
        <v>3085.7142857142858</v>
      </c>
      <c r="K654" s="1">
        <v>1</v>
      </c>
      <c r="L654" s="1">
        <f>((Fórmulas!C$6/Fórmulas!D$6)/0.7)*K654</f>
        <v>2.4489795918367347</v>
      </c>
      <c r="M654" s="1">
        <f>L654*Fórmulas!D$6</f>
        <v>857.14285714285711</v>
      </c>
    </row>
    <row r="655" spans="1:13" x14ac:dyDescent="0.25">
      <c r="A655" s="22"/>
      <c r="B655" s="26"/>
      <c r="C655" s="26"/>
      <c r="D655" s="26"/>
      <c r="E655" s="22">
        <v>0</v>
      </c>
      <c r="F655" s="22"/>
      <c r="G655" s="1">
        <f>((Fórmulas!C$7/Fórmulas!D$7)/Fórmulas!E$7)*E655</f>
        <v>0</v>
      </c>
      <c r="H655" s="1">
        <f>G655*Fórmulas!B$9</f>
        <v>0</v>
      </c>
      <c r="I655" s="7">
        <f>E655/Fórmulas!E$7</f>
        <v>0</v>
      </c>
      <c r="J655" s="17">
        <f>G655*Fórmulas!B$10</f>
        <v>0</v>
      </c>
      <c r="K655" s="1">
        <v>1</v>
      </c>
      <c r="L655" s="1">
        <f>((Fórmulas!C$6/Fórmulas!D$6)/0.7)*K655</f>
        <v>2.4489795918367347</v>
      </c>
      <c r="M655" s="1">
        <f>L655*Fórmulas!D$6</f>
        <v>857.14285714285711</v>
      </c>
    </row>
    <row r="656" spans="1:13" x14ac:dyDescent="0.25">
      <c r="A656" s="22"/>
      <c r="B656" s="26"/>
      <c r="C656" s="26"/>
      <c r="D656" s="26"/>
      <c r="E656" s="22">
        <v>0</v>
      </c>
      <c r="F656" s="22"/>
      <c r="G656" s="1">
        <f>((Fórmulas!C$7/Fórmulas!D$7)/Fórmulas!E$7)*E656</f>
        <v>0</v>
      </c>
      <c r="H656" s="1">
        <f>G656*Fórmulas!B$9</f>
        <v>0</v>
      </c>
      <c r="I656" s="7">
        <f>E656/Fórmulas!E$7</f>
        <v>0</v>
      </c>
      <c r="J656" s="17">
        <f>G656*Fórmulas!B$10</f>
        <v>0</v>
      </c>
      <c r="K656" s="1">
        <v>1</v>
      </c>
      <c r="L656" s="1">
        <f>((Fórmulas!C$6/Fórmulas!D$6)/0.7)*K656</f>
        <v>2.4489795918367347</v>
      </c>
      <c r="M656" s="1">
        <f>L656*Fórmulas!D$6</f>
        <v>857.14285714285711</v>
      </c>
    </row>
    <row r="657" spans="1:13" x14ac:dyDescent="0.25">
      <c r="A657" s="24" t="s">
        <v>843</v>
      </c>
      <c r="B657" s="26" t="s">
        <v>844</v>
      </c>
      <c r="C657" s="26"/>
      <c r="D657" s="26"/>
      <c r="E657" s="24">
        <v>1.2</v>
      </c>
      <c r="F657" s="22"/>
      <c r="G657" s="1">
        <f>((Fórmulas!C$7/Fórmulas!D$7)/Fórmulas!E$7)*E657</f>
        <v>3.4285714285714284</v>
      </c>
      <c r="H657" s="1">
        <f>G657*Fórmulas!B$9</f>
        <v>1200</v>
      </c>
      <c r="I657" s="7">
        <f>E657/Fórmulas!E$7</f>
        <v>2</v>
      </c>
      <c r="J657" s="17">
        <f>G657*Fórmulas!B$10</f>
        <v>2057.1428571428569</v>
      </c>
      <c r="K657" s="1">
        <v>1</v>
      </c>
      <c r="L657" s="1">
        <f>((Fórmulas!C$6/Fórmulas!D$6)/0.7)*K657</f>
        <v>2.4489795918367347</v>
      </c>
      <c r="M657" s="1">
        <f>L657*Fórmulas!D$6</f>
        <v>857.14285714285711</v>
      </c>
    </row>
    <row r="658" spans="1:13" x14ac:dyDescent="0.25">
      <c r="A658" s="22"/>
      <c r="B658" s="26"/>
      <c r="C658" s="26"/>
      <c r="D658" s="26"/>
      <c r="E658" s="22">
        <v>0</v>
      </c>
      <c r="F658" s="22"/>
      <c r="G658" s="1">
        <f>((Fórmulas!C$7/Fórmulas!D$7)/Fórmulas!E$7)*E658</f>
        <v>0</v>
      </c>
      <c r="H658" s="1">
        <f>G658*Fórmulas!B$9</f>
        <v>0</v>
      </c>
      <c r="I658" s="7">
        <f>E658/Fórmulas!E$7</f>
        <v>0</v>
      </c>
      <c r="J658" s="17">
        <f>G658*Fórmulas!B$10</f>
        <v>0</v>
      </c>
      <c r="K658" s="1">
        <v>1</v>
      </c>
      <c r="L658" s="1">
        <f>((Fórmulas!C$6/Fórmulas!D$6)/0.7)*K658</f>
        <v>2.4489795918367347</v>
      </c>
      <c r="M658" s="1">
        <f>L658*Fórmulas!D$6</f>
        <v>857.14285714285711</v>
      </c>
    </row>
    <row r="659" spans="1:13" x14ac:dyDescent="0.25">
      <c r="A659" s="22"/>
      <c r="B659" s="26"/>
      <c r="C659" s="26"/>
      <c r="D659" s="26"/>
      <c r="E659" s="22">
        <v>0</v>
      </c>
      <c r="F659" s="22"/>
      <c r="G659" s="1">
        <f>((Fórmulas!C$7/Fórmulas!D$7)/Fórmulas!E$7)*E659</f>
        <v>0</v>
      </c>
      <c r="H659" s="1">
        <f>G659*Fórmulas!B$9</f>
        <v>0</v>
      </c>
      <c r="I659" s="7">
        <f>E659/Fórmulas!E$7</f>
        <v>0</v>
      </c>
      <c r="J659" s="17">
        <f>G659*Fórmulas!B$10</f>
        <v>0</v>
      </c>
      <c r="K659" s="1">
        <v>1</v>
      </c>
      <c r="L659" s="1">
        <f>((Fórmulas!C$6/Fórmulas!D$6)/0.7)*K659</f>
        <v>2.4489795918367347</v>
      </c>
      <c r="M659" s="1">
        <f>L659*Fórmulas!D$6</f>
        <v>857.14285714285711</v>
      </c>
    </row>
    <row r="660" spans="1:13" x14ac:dyDescent="0.25">
      <c r="A660" s="22"/>
      <c r="B660" s="26"/>
      <c r="C660" s="26"/>
      <c r="D660" s="26"/>
      <c r="E660" s="22">
        <v>0</v>
      </c>
      <c r="F660" s="22"/>
      <c r="G660" s="1">
        <f>((Fórmulas!C$7/Fórmulas!D$7)/Fórmulas!E$7)*E660</f>
        <v>0</v>
      </c>
      <c r="H660" s="1">
        <f>G660*Fórmulas!B$9</f>
        <v>0</v>
      </c>
      <c r="I660" s="7">
        <f>E660/Fórmulas!E$7</f>
        <v>0</v>
      </c>
      <c r="J660" s="17">
        <f>G660*Fórmulas!B$10</f>
        <v>0</v>
      </c>
      <c r="K660" s="1">
        <v>1</v>
      </c>
      <c r="L660" s="1">
        <f>((Fórmulas!C$6/Fórmulas!D$6)/0.7)*K660</f>
        <v>2.4489795918367347</v>
      </c>
      <c r="M660" s="1">
        <f>L660*Fórmulas!D$6</f>
        <v>857.14285714285711</v>
      </c>
    </row>
    <row r="661" spans="1:13" x14ac:dyDescent="0.25">
      <c r="A661" s="22"/>
      <c r="B661" s="26"/>
      <c r="C661" s="26"/>
      <c r="D661" s="26"/>
      <c r="E661" s="22">
        <v>0</v>
      </c>
      <c r="F661" s="22"/>
      <c r="G661" s="1">
        <f>((Fórmulas!C$7/Fórmulas!D$7)/Fórmulas!E$7)*E661</f>
        <v>0</v>
      </c>
      <c r="H661" s="1">
        <f>G661*Fórmulas!B$9</f>
        <v>0</v>
      </c>
      <c r="I661" s="7">
        <f>E661/Fórmulas!E$7</f>
        <v>0</v>
      </c>
      <c r="J661" s="17">
        <f>G661*Fórmulas!B$10</f>
        <v>0</v>
      </c>
      <c r="K661" s="1">
        <v>1</v>
      </c>
      <c r="L661" s="1">
        <f>((Fórmulas!C$6/Fórmulas!D$6)/0.7)*K661</f>
        <v>2.4489795918367347</v>
      </c>
      <c r="M661" s="1">
        <f>L661*Fórmulas!D$6</f>
        <v>857.14285714285711</v>
      </c>
    </row>
    <row r="662" spans="1:13" x14ac:dyDescent="0.25">
      <c r="A662" s="22" t="s">
        <v>873</v>
      </c>
      <c r="B662" s="26" t="s">
        <v>874</v>
      </c>
      <c r="C662" s="26"/>
      <c r="D662" s="26"/>
      <c r="E662" s="22">
        <v>1.2</v>
      </c>
      <c r="F662" s="22"/>
      <c r="G662" s="1">
        <f>((Fórmulas!C$7/Fórmulas!D$7)/Fórmulas!E$7)*E662</f>
        <v>3.4285714285714284</v>
      </c>
      <c r="H662" s="1">
        <f>G662*Fórmulas!B$9</f>
        <v>1200</v>
      </c>
      <c r="I662" s="7">
        <f>E662/Fórmulas!E$7</f>
        <v>2</v>
      </c>
      <c r="J662" s="17">
        <f>G662*Fórmulas!B$10</f>
        <v>2057.1428571428569</v>
      </c>
      <c r="K662" s="1">
        <v>1</v>
      </c>
      <c r="L662" s="1">
        <f>((Fórmulas!C$6/Fórmulas!D$6)/0.7)*K662</f>
        <v>2.4489795918367347</v>
      </c>
      <c r="M662" s="1">
        <f>L662*Fórmulas!D$6</f>
        <v>857.14285714285711</v>
      </c>
    </row>
    <row r="663" spans="1:13" x14ac:dyDescent="0.25">
      <c r="A663" s="24" t="s">
        <v>873</v>
      </c>
      <c r="B663" s="26" t="s">
        <v>875</v>
      </c>
      <c r="C663" s="26"/>
      <c r="D663" s="26"/>
      <c r="E663" s="22">
        <v>1.2</v>
      </c>
      <c r="F663" s="22"/>
      <c r="G663" s="1">
        <f>((Fórmulas!C$7/Fórmulas!D$7)/Fórmulas!E$7)*E663</f>
        <v>3.4285714285714284</v>
      </c>
      <c r="H663" s="1">
        <f>G663*Fórmulas!B$9</f>
        <v>1200</v>
      </c>
      <c r="I663" s="7">
        <f>E663/Fórmulas!E$7</f>
        <v>2</v>
      </c>
      <c r="J663" s="17">
        <f>G663*Fórmulas!B$10</f>
        <v>2057.1428571428569</v>
      </c>
      <c r="K663" s="1">
        <v>1</v>
      </c>
      <c r="L663" s="1">
        <f>((Fórmulas!C$6/Fórmulas!D$6)/0.7)*K663</f>
        <v>2.4489795918367347</v>
      </c>
      <c r="M663" s="1">
        <f>L663*Fórmulas!D$6</f>
        <v>857.14285714285711</v>
      </c>
    </row>
    <row r="664" spans="1:13" x14ac:dyDescent="0.25">
      <c r="A664" s="24" t="s">
        <v>873</v>
      </c>
      <c r="B664" s="26" t="s">
        <v>876</v>
      </c>
      <c r="C664" s="26"/>
      <c r="D664" s="26"/>
      <c r="E664" s="22">
        <v>0.9</v>
      </c>
      <c r="F664" s="22"/>
      <c r="G664" s="1">
        <f>((Fórmulas!C$7/Fórmulas!D$7)/Fórmulas!E$7)*E664</f>
        <v>2.5714285714285716</v>
      </c>
      <c r="H664" s="1">
        <f>G664*Fórmulas!B$9</f>
        <v>900.00000000000011</v>
      </c>
      <c r="I664" s="7">
        <f>E664/Fórmulas!E$7</f>
        <v>1.5</v>
      </c>
      <c r="J664" s="17">
        <f>G664*Fórmulas!B$10</f>
        <v>1542.8571428571429</v>
      </c>
      <c r="K664" s="1">
        <v>1</v>
      </c>
      <c r="L664" s="1">
        <f>((Fórmulas!C$6/Fórmulas!D$6)/0.7)*K664</f>
        <v>2.4489795918367347</v>
      </c>
      <c r="M664" s="1">
        <f>L664*Fórmulas!D$6</f>
        <v>857.14285714285711</v>
      </c>
    </row>
    <row r="665" spans="1:13" x14ac:dyDescent="0.25">
      <c r="A665" s="24"/>
      <c r="B665" s="42"/>
      <c r="C665" s="42"/>
      <c r="D665" s="42"/>
      <c r="E665" s="24">
        <v>0</v>
      </c>
      <c r="F665" s="22"/>
      <c r="G665" s="1">
        <f>((Fórmulas!C$7/Fórmulas!D$7)/Fórmulas!E$7)*E665</f>
        <v>0</v>
      </c>
      <c r="H665" s="1">
        <f>G665*Fórmulas!B$9</f>
        <v>0</v>
      </c>
      <c r="I665" s="7">
        <f>E665/Fórmulas!E$7</f>
        <v>0</v>
      </c>
      <c r="J665" s="17">
        <f>G665*Fórmulas!B$10</f>
        <v>0</v>
      </c>
      <c r="K665" s="1">
        <v>1</v>
      </c>
      <c r="L665" s="1">
        <f>((Fórmulas!C$6/Fórmulas!D$6)/0.7)*K665</f>
        <v>2.4489795918367347</v>
      </c>
      <c r="M665" s="1">
        <f>L665*Fórmulas!D$6</f>
        <v>857.14285714285711</v>
      </c>
    </row>
    <row r="666" spans="1:13" x14ac:dyDescent="0.25">
      <c r="A666" s="22"/>
      <c r="B666" s="26"/>
      <c r="C666" s="26"/>
      <c r="D666" s="26"/>
      <c r="E666" s="22"/>
      <c r="F666" s="22"/>
      <c r="G666" s="1">
        <f>((Fórmulas!C$7/Fórmulas!D$7)/Fórmulas!E$7)*E666</f>
        <v>0</v>
      </c>
      <c r="H666" s="1">
        <f>G666*Fórmulas!B$9</f>
        <v>0</v>
      </c>
      <c r="I666" s="7">
        <f>E666/Fórmulas!E$7</f>
        <v>0</v>
      </c>
      <c r="J666" s="17">
        <f>G666*Fórmulas!B$10</f>
        <v>0</v>
      </c>
      <c r="K666" s="1">
        <v>1</v>
      </c>
      <c r="L666" s="1">
        <f>((Fórmulas!C$6/Fórmulas!D$6)/0.7)*K666</f>
        <v>2.4489795918367347</v>
      </c>
      <c r="M666" s="1">
        <f>L666*Fórmulas!D$6</f>
        <v>857.14285714285711</v>
      </c>
    </row>
    <row r="667" spans="1:13" x14ac:dyDescent="0.25">
      <c r="A667" s="24" t="s">
        <v>848</v>
      </c>
      <c r="B667" s="25" t="s">
        <v>850</v>
      </c>
      <c r="C667" s="25"/>
      <c r="D667" s="25"/>
      <c r="E667" s="24">
        <v>1.8</v>
      </c>
      <c r="F667" s="22"/>
      <c r="G667" s="1">
        <f>((Fórmulas!C$7/Fórmulas!D$7)/Fórmulas!E$7)*E667</f>
        <v>5.1428571428571432</v>
      </c>
      <c r="H667" s="1">
        <f>G667*Fórmulas!B$9</f>
        <v>1800.0000000000002</v>
      </c>
      <c r="I667" s="7">
        <f>E667/Fórmulas!E$7</f>
        <v>3</v>
      </c>
      <c r="J667" s="17">
        <f>G667*Fórmulas!B$10</f>
        <v>3085.7142857142858</v>
      </c>
      <c r="K667" s="1">
        <v>1</v>
      </c>
      <c r="L667" s="1">
        <f>((Fórmulas!C$6/Fórmulas!D$6)/0.7)*K667</f>
        <v>2.4489795918367347</v>
      </c>
      <c r="M667" s="1">
        <f>L667*Fórmulas!D$6</f>
        <v>857.14285714285711</v>
      </c>
    </row>
    <row r="668" spans="1:13" x14ac:dyDescent="0.25">
      <c r="A668" s="22" t="s">
        <v>849</v>
      </c>
      <c r="B668" s="26" t="s">
        <v>851</v>
      </c>
      <c r="C668" s="26"/>
      <c r="D668" s="26"/>
      <c r="E668" s="22">
        <v>1.2</v>
      </c>
      <c r="F668" s="22"/>
      <c r="G668" s="1">
        <f>((Fórmulas!C$7/Fórmulas!D$7)/Fórmulas!E$7)*E668</f>
        <v>3.4285714285714284</v>
      </c>
      <c r="H668" s="1">
        <f>G668*Fórmulas!B$9</f>
        <v>1200</v>
      </c>
      <c r="I668" s="7">
        <f>E668/Fórmulas!E$7</f>
        <v>2</v>
      </c>
      <c r="J668" s="17">
        <f>G668*Fórmulas!B$10</f>
        <v>2057.1428571428569</v>
      </c>
      <c r="K668" s="1">
        <v>1</v>
      </c>
      <c r="L668" s="1">
        <f>((Fórmulas!C$6/Fórmulas!D$6)/0.7)*K668</f>
        <v>2.4489795918367347</v>
      </c>
      <c r="M668" s="1">
        <f>L668*Fórmulas!D$6</f>
        <v>857.14285714285711</v>
      </c>
    </row>
    <row r="669" spans="1:13" x14ac:dyDescent="0.25">
      <c r="A669" s="24" t="s">
        <v>849</v>
      </c>
      <c r="B669" s="26" t="s">
        <v>852</v>
      </c>
      <c r="C669" s="26"/>
      <c r="D669" s="26"/>
      <c r="E669" s="22">
        <v>1.8</v>
      </c>
      <c r="F669" s="22"/>
      <c r="G669" s="1">
        <f>((Fórmulas!C$7/Fórmulas!D$7)/Fórmulas!E$7)*E669</f>
        <v>5.1428571428571432</v>
      </c>
      <c r="H669" s="1">
        <f>G669*Fórmulas!B$9</f>
        <v>1800.0000000000002</v>
      </c>
      <c r="I669" s="7">
        <f>E669/Fórmulas!E$7</f>
        <v>3</v>
      </c>
      <c r="J669" s="17">
        <f>G669*Fórmulas!B$10</f>
        <v>3085.7142857142858</v>
      </c>
      <c r="K669" s="1">
        <v>1</v>
      </c>
      <c r="L669" s="1">
        <f>((Fórmulas!C$6/Fórmulas!D$6)/0.7)*K669</f>
        <v>2.4489795918367347</v>
      </c>
      <c r="M669" s="1">
        <f>L669*Fórmulas!D$6</f>
        <v>857.14285714285711</v>
      </c>
    </row>
    <row r="670" spans="1:13" x14ac:dyDescent="0.25">
      <c r="A670" s="22"/>
      <c r="B670" s="26"/>
      <c r="C670" s="26"/>
      <c r="D670" s="26"/>
      <c r="E670" s="22">
        <v>0</v>
      </c>
      <c r="F670" s="22"/>
      <c r="G670" s="1">
        <f>((Fórmulas!C$7/Fórmulas!D$7)/Fórmulas!E$7)*E670</f>
        <v>0</v>
      </c>
      <c r="H670" s="1">
        <f>G670*Fórmulas!B$9</f>
        <v>0</v>
      </c>
      <c r="I670" s="7">
        <f>E670/Fórmulas!E$7</f>
        <v>0</v>
      </c>
      <c r="J670" s="17">
        <f>G670*Fórmulas!B$10</f>
        <v>0</v>
      </c>
      <c r="K670" s="1">
        <v>1</v>
      </c>
      <c r="L670" s="1">
        <f>((Fórmulas!C$6/Fórmulas!D$6)/0.7)*K670</f>
        <v>2.4489795918367347</v>
      </c>
      <c r="M670" s="1">
        <f>L670*Fórmulas!D$6</f>
        <v>857.14285714285711</v>
      </c>
    </row>
    <row r="671" spans="1:13" x14ac:dyDescent="0.25">
      <c r="A671" s="22"/>
      <c r="B671" s="26"/>
      <c r="C671" s="26"/>
      <c r="D671" s="26"/>
      <c r="E671" s="22">
        <v>0</v>
      </c>
      <c r="F671" s="22"/>
      <c r="G671" s="1">
        <f>((Fórmulas!C$7/Fórmulas!D$7)/Fórmulas!E$7)*E671</f>
        <v>0</v>
      </c>
      <c r="H671" s="1">
        <f>G671*Fórmulas!B$9</f>
        <v>0</v>
      </c>
      <c r="I671" s="7">
        <f>E671/Fórmulas!E$7</f>
        <v>0</v>
      </c>
      <c r="J671" s="17">
        <f>G671*Fórmulas!B$10</f>
        <v>0</v>
      </c>
      <c r="K671" s="1">
        <v>1</v>
      </c>
      <c r="L671" s="1">
        <f>((Fórmulas!C$6/Fórmulas!D$6)/0.7)*K671</f>
        <v>2.4489795918367347</v>
      </c>
      <c r="M671" s="1">
        <f>L671*Fórmulas!D$6</f>
        <v>857.14285714285711</v>
      </c>
    </row>
    <row r="672" spans="1:13" x14ac:dyDescent="0.25">
      <c r="A672" s="22" t="s">
        <v>886</v>
      </c>
      <c r="B672" s="25" t="s">
        <v>887</v>
      </c>
      <c r="C672" s="25"/>
      <c r="D672" s="25"/>
      <c r="E672" s="22">
        <v>2.4</v>
      </c>
      <c r="F672" s="22"/>
      <c r="G672" s="1">
        <f>((Fórmulas!C$7/Fórmulas!D$7)/Fórmulas!E$7)*E672</f>
        <v>6.8571428571428568</v>
      </c>
      <c r="H672" s="1">
        <f>G672*Fórmulas!B$9</f>
        <v>2400</v>
      </c>
      <c r="I672" s="7">
        <f>E672/Fórmulas!E$7</f>
        <v>4</v>
      </c>
      <c r="J672" s="17">
        <f>G672*Fórmulas!B$10</f>
        <v>4114.2857142857138</v>
      </c>
      <c r="K672" s="1">
        <v>1</v>
      </c>
      <c r="L672" s="1">
        <f>((Fórmulas!C$6/Fórmulas!D$6)/0.7)*K672</f>
        <v>2.4489795918367347</v>
      </c>
      <c r="M672" s="1">
        <f>L672*Fórmulas!D$6</f>
        <v>857.14285714285711</v>
      </c>
    </row>
    <row r="673" spans="1:13" x14ac:dyDescent="0.25">
      <c r="A673" s="22"/>
      <c r="B673" s="26"/>
      <c r="C673" s="26"/>
      <c r="D673" s="26"/>
      <c r="E673" s="22">
        <v>0</v>
      </c>
      <c r="F673" s="22"/>
      <c r="G673" s="1">
        <f>((Fórmulas!C$7/Fórmulas!D$7)/Fórmulas!E$7)*E673</f>
        <v>0</v>
      </c>
      <c r="H673" s="1">
        <f>G673*Fórmulas!B$9</f>
        <v>0</v>
      </c>
      <c r="I673" s="7">
        <f>E673/Fórmulas!E$7</f>
        <v>0</v>
      </c>
      <c r="J673" s="17">
        <f>G673*Fórmulas!B$10</f>
        <v>0</v>
      </c>
      <c r="K673" s="1">
        <v>1</v>
      </c>
      <c r="L673" s="1">
        <f>((Fórmulas!C$6/Fórmulas!D$6)/0.7)*K673</f>
        <v>2.4489795918367347</v>
      </c>
      <c r="M673" s="1">
        <f>L673*Fórmulas!D$6</f>
        <v>857.14285714285711</v>
      </c>
    </row>
    <row r="674" spans="1:13" x14ac:dyDescent="0.25">
      <c r="A674" s="22"/>
      <c r="B674" s="26"/>
      <c r="C674" s="26"/>
      <c r="D674" s="26"/>
      <c r="E674" s="22">
        <v>0</v>
      </c>
      <c r="F674" s="22"/>
      <c r="G674" s="1">
        <f>((Fórmulas!C$7/Fórmulas!D$7)/Fórmulas!E$7)*E674</f>
        <v>0</v>
      </c>
      <c r="H674" s="1">
        <f>G674*Fórmulas!B$9</f>
        <v>0</v>
      </c>
      <c r="I674" s="7">
        <f>E674/Fórmulas!E$7</f>
        <v>0</v>
      </c>
      <c r="J674" s="17">
        <f>G674*Fórmulas!B$10</f>
        <v>0</v>
      </c>
      <c r="K674" s="1">
        <v>1</v>
      </c>
      <c r="L674" s="1">
        <f>((Fórmulas!C$6/Fórmulas!D$6)/0.7)*K674</f>
        <v>2.4489795918367347</v>
      </c>
      <c r="M674" s="1">
        <f>L674*Fórmulas!D$6</f>
        <v>857.14285714285711</v>
      </c>
    </row>
    <row r="675" spans="1:13" x14ac:dyDescent="0.25">
      <c r="A675" s="22"/>
      <c r="B675" s="26"/>
      <c r="C675" s="26"/>
      <c r="D675" s="26"/>
      <c r="E675" s="22">
        <v>0</v>
      </c>
      <c r="F675" s="22"/>
      <c r="G675" s="1">
        <f>((Fórmulas!C$7/Fórmulas!D$7)/Fórmulas!E$7)*E675</f>
        <v>0</v>
      </c>
      <c r="H675" s="1">
        <f>G675*Fórmulas!B$9</f>
        <v>0</v>
      </c>
      <c r="I675" s="7">
        <f>E675/Fórmulas!E$7</f>
        <v>0</v>
      </c>
      <c r="J675" s="17">
        <f>G675*Fórmulas!B$10</f>
        <v>0</v>
      </c>
      <c r="K675" s="1">
        <v>1</v>
      </c>
      <c r="L675" s="1">
        <f>((Fórmulas!C$6/Fórmulas!D$6)/0.7)*K675</f>
        <v>2.4489795918367347</v>
      </c>
      <c r="M675" s="1">
        <f>L675*Fórmulas!D$6</f>
        <v>857.14285714285711</v>
      </c>
    </row>
    <row r="676" spans="1:13" x14ac:dyDescent="0.25">
      <c r="A676" s="22"/>
      <c r="B676" s="26"/>
      <c r="C676" s="26"/>
      <c r="D676" s="26"/>
      <c r="E676" s="22">
        <v>0</v>
      </c>
      <c r="F676" s="22"/>
      <c r="G676" s="1">
        <f>((Fórmulas!C$7/Fórmulas!D$7)/Fórmulas!E$7)*E676</f>
        <v>0</v>
      </c>
      <c r="H676" s="1">
        <f>G676*Fórmulas!B$9</f>
        <v>0</v>
      </c>
      <c r="I676" s="7">
        <f>E676/Fórmulas!E$7</f>
        <v>0</v>
      </c>
      <c r="J676" s="17">
        <f>G676*Fórmulas!B$10</f>
        <v>0</v>
      </c>
      <c r="K676" s="1">
        <v>1</v>
      </c>
      <c r="L676" s="1">
        <f>((Fórmulas!C$6/Fórmulas!D$6)/0.7)*K676</f>
        <v>2.4489795918367347</v>
      </c>
      <c r="M676" s="1">
        <f>L676*Fórmulas!D$6</f>
        <v>857.14285714285711</v>
      </c>
    </row>
    <row r="677" spans="1:13" x14ac:dyDescent="0.25">
      <c r="A677" s="22"/>
      <c r="B677" s="26"/>
      <c r="C677" s="26"/>
      <c r="D677" s="26"/>
      <c r="E677" s="22">
        <v>0</v>
      </c>
      <c r="F677" s="22"/>
      <c r="G677" s="1">
        <f>((Fórmulas!C$7/Fórmulas!D$7)/Fórmulas!E$7)*E677</f>
        <v>0</v>
      </c>
      <c r="H677" s="1">
        <f>G677*Fórmulas!B$9</f>
        <v>0</v>
      </c>
      <c r="I677" s="7">
        <f>E677/Fórmulas!E$7</f>
        <v>0</v>
      </c>
      <c r="J677" s="17">
        <f>G677*Fórmulas!B$10</f>
        <v>0</v>
      </c>
      <c r="K677" s="1">
        <v>1</v>
      </c>
      <c r="L677" s="1">
        <f>((Fórmulas!C$6/Fórmulas!D$6)/0.7)*K677</f>
        <v>2.4489795918367347</v>
      </c>
      <c r="M677" s="1">
        <f>L677*Fórmulas!D$6</f>
        <v>857.14285714285711</v>
      </c>
    </row>
    <row r="678" spans="1:13" x14ac:dyDescent="0.25">
      <c r="A678" s="22"/>
      <c r="B678" s="26"/>
      <c r="C678" s="26"/>
      <c r="D678" s="26"/>
      <c r="E678" s="22">
        <v>0</v>
      </c>
      <c r="F678" s="22"/>
      <c r="G678" s="1">
        <f>((Fórmulas!C$7/Fórmulas!D$7)/Fórmulas!E$7)*E678</f>
        <v>0</v>
      </c>
      <c r="H678" s="1">
        <f>G678*Fórmulas!B$9</f>
        <v>0</v>
      </c>
      <c r="I678" s="7">
        <f>E678/Fórmulas!E$7</f>
        <v>0</v>
      </c>
      <c r="J678" s="17">
        <f>G678*Fórmulas!B$10</f>
        <v>0</v>
      </c>
      <c r="K678" s="1">
        <v>1</v>
      </c>
      <c r="L678" s="1">
        <f>((Fórmulas!C$6/Fórmulas!D$6)/0.7)*K678</f>
        <v>2.4489795918367347</v>
      </c>
      <c r="M678" s="1">
        <f>L678*Fórmulas!D$6</f>
        <v>857.14285714285711</v>
      </c>
    </row>
    <row r="679" spans="1:13" x14ac:dyDescent="0.25">
      <c r="A679" s="24"/>
      <c r="B679" s="26"/>
      <c r="C679" s="26"/>
      <c r="D679" s="26"/>
      <c r="E679" s="24">
        <v>0</v>
      </c>
      <c r="F679" s="24"/>
      <c r="G679" s="1">
        <f>((Fórmulas!C$7/Fórmulas!D$7)/Fórmulas!E$7)*E679</f>
        <v>0</v>
      </c>
      <c r="H679" s="1">
        <f>G679*Fórmulas!B$9</f>
        <v>0</v>
      </c>
      <c r="I679" s="7">
        <f>E679/Fórmulas!E$7</f>
        <v>0</v>
      </c>
      <c r="J679" s="17">
        <f>G679*Fórmulas!B$10</f>
        <v>0</v>
      </c>
      <c r="K679" s="1">
        <v>1</v>
      </c>
      <c r="L679" s="1">
        <f>((Fórmulas!C$6/Fórmulas!D$6)/0.7)*K679</f>
        <v>2.4489795918367347</v>
      </c>
      <c r="M679" s="1">
        <f>L679*Fórmulas!D$6</f>
        <v>857.14285714285711</v>
      </c>
    </row>
    <row r="680" spans="1:13" x14ac:dyDescent="0.25">
      <c r="A680" s="24"/>
      <c r="B680" s="26"/>
      <c r="C680" s="26"/>
      <c r="D680" s="26"/>
      <c r="E680" s="24">
        <v>0</v>
      </c>
      <c r="F680" s="24"/>
      <c r="G680" s="1">
        <f>((Fórmulas!C$7/Fórmulas!D$7)/Fórmulas!E$7)*E680</f>
        <v>0</v>
      </c>
      <c r="H680" s="1">
        <f>G680*Fórmulas!B$9</f>
        <v>0</v>
      </c>
      <c r="I680" s="7">
        <f>E680/Fórmulas!E$7</f>
        <v>0</v>
      </c>
      <c r="J680" s="17">
        <f>G680*Fórmulas!B$10</f>
        <v>0</v>
      </c>
      <c r="K680" s="1">
        <v>1</v>
      </c>
      <c r="L680" s="1">
        <f>((Fórmulas!C$6/Fórmulas!D$6)/0.7)*K680</f>
        <v>2.4489795918367347</v>
      </c>
      <c r="M680" s="1">
        <f>L680*Fórmulas!D$6</f>
        <v>857.14285714285711</v>
      </c>
    </row>
    <row r="681" spans="1:13" x14ac:dyDescent="0.25">
      <c r="A681" s="24"/>
      <c r="B681" s="26"/>
      <c r="C681" s="26"/>
      <c r="D681" s="26"/>
      <c r="E681" s="24">
        <v>0</v>
      </c>
      <c r="F681" s="24"/>
      <c r="G681" s="1">
        <f>((Fórmulas!C$7/Fórmulas!D$7)/Fórmulas!E$7)*E681</f>
        <v>0</v>
      </c>
      <c r="H681" s="1">
        <f>G681*Fórmulas!B$9</f>
        <v>0</v>
      </c>
      <c r="I681" s="7">
        <f>E681/Fórmulas!E$7</f>
        <v>0</v>
      </c>
      <c r="J681" s="17">
        <f>G681*Fórmulas!B$10</f>
        <v>0</v>
      </c>
      <c r="K681" s="1">
        <v>1</v>
      </c>
      <c r="L681" s="1">
        <f>((Fórmulas!C$6/Fórmulas!D$6)/0.7)*K681</f>
        <v>2.4489795918367347</v>
      </c>
      <c r="M681" s="1">
        <f>L681*Fórmulas!D$6</f>
        <v>857.14285714285711</v>
      </c>
    </row>
    <row r="682" spans="1:13" x14ac:dyDescent="0.25">
      <c r="A682" s="24"/>
      <c r="B682" s="26"/>
      <c r="C682" s="26"/>
      <c r="D682" s="26"/>
      <c r="E682" s="24">
        <v>0</v>
      </c>
      <c r="F682" s="24"/>
      <c r="G682" s="1">
        <f>((Fórmulas!C$7/Fórmulas!D$7)/Fórmulas!E$7)*E682</f>
        <v>0</v>
      </c>
      <c r="H682" s="1">
        <f>G682*Fórmulas!B$9</f>
        <v>0</v>
      </c>
      <c r="I682" s="7">
        <f>E682/Fórmulas!E$7</f>
        <v>0</v>
      </c>
      <c r="J682" s="17">
        <f>G682*Fórmulas!B$10</f>
        <v>0</v>
      </c>
      <c r="K682" s="1">
        <v>1</v>
      </c>
      <c r="L682" s="1">
        <f>((Fórmulas!C$6/Fórmulas!D$6)/0.7)*K682</f>
        <v>2.4489795918367347</v>
      </c>
      <c r="M682" s="1">
        <f>L682*Fórmulas!D$6</f>
        <v>857.14285714285711</v>
      </c>
    </row>
    <row r="683" spans="1:13" x14ac:dyDescent="0.25">
      <c r="A683" s="24"/>
      <c r="B683" s="26"/>
      <c r="C683" s="26"/>
      <c r="D683" s="26"/>
      <c r="E683" s="24">
        <v>0</v>
      </c>
      <c r="F683" s="24"/>
      <c r="G683" s="1">
        <f>((Fórmulas!C$7/Fórmulas!D$7)/Fórmulas!E$7)*E683</f>
        <v>0</v>
      </c>
      <c r="H683" s="1">
        <f>G683*Fórmulas!B$9</f>
        <v>0</v>
      </c>
      <c r="I683" s="7">
        <f>E683/Fórmulas!E$7</f>
        <v>0</v>
      </c>
      <c r="J683" s="17">
        <f>G683*Fórmulas!B$10</f>
        <v>0</v>
      </c>
      <c r="K683" s="1">
        <v>1</v>
      </c>
      <c r="L683" s="1">
        <f>((Fórmulas!C$6/Fórmulas!D$6)/0.7)*K683</f>
        <v>2.4489795918367347</v>
      </c>
      <c r="M683" s="1">
        <f>L683*Fórmulas!D$6</f>
        <v>857.14285714285711</v>
      </c>
    </row>
    <row r="684" spans="1:13" x14ac:dyDescent="0.25">
      <c r="A684" s="24"/>
      <c r="B684" s="26"/>
      <c r="C684" s="26"/>
      <c r="D684" s="26"/>
      <c r="E684" s="24">
        <v>0</v>
      </c>
      <c r="F684" s="24"/>
      <c r="G684" s="1">
        <f>((Fórmulas!C$7/Fórmulas!D$7)/Fórmulas!E$7)*E684</f>
        <v>0</v>
      </c>
      <c r="H684" s="1">
        <f>G684*Fórmulas!B$9</f>
        <v>0</v>
      </c>
      <c r="I684" s="7">
        <f>E684/Fórmulas!E$7</f>
        <v>0</v>
      </c>
      <c r="J684" s="17">
        <f>G684*Fórmulas!B$10</f>
        <v>0</v>
      </c>
      <c r="K684" s="1">
        <v>1</v>
      </c>
      <c r="L684" s="1">
        <f>((Fórmulas!C$6/Fórmulas!D$6)/0.7)*K684</f>
        <v>2.4489795918367347</v>
      </c>
      <c r="M684" s="1">
        <f>L684*Fórmulas!D$6</f>
        <v>857.14285714285711</v>
      </c>
    </row>
    <row r="685" spans="1:13" x14ac:dyDescent="0.25">
      <c r="A685" s="24"/>
      <c r="B685" s="26"/>
      <c r="C685" s="26"/>
      <c r="D685" s="26"/>
      <c r="E685" s="24">
        <v>0</v>
      </c>
      <c r="F685" s="24"/>
      <c r="G685" s="1">
        <f>((Fórmulas!C$7/Fórmulas!D$7)/Fórmulas!E$7)*E685</f>
        <v>0</v>
      </c>
      <c r="H685" s="1">
        <f>G685*Fórmulas!B$9</f>
        <v>0</v>
      </c>
      <c r="I685" s="7">
        <f>E685/Fórmulas!E$7</f>
        <v>0</v>
      </c>
      <c r="J685" s="17">
        <f>G685*Fórmulas!B$10</f>
        <v>0</v>
      </c>
      <c r="K685" s="1">
        <v>1</v>
      </c>
      <c r="L685" s="1">
        <f>((Fórmulas!C$6/Fórmulas!D$6)/0.7)*K685</f>
        <v>2.4489795918367347</v>
      </c>
      <c r="M685" s="1">
        <f>L685*Fórmulas!D$6</f>
        <v>857.14285714285711</v>
      </c>
    </row>
    <row r="686" spans="1:13" x14ac:dyDescent="0.25">
      <c r="A686" s="24"/>
      <c r="B686" s="26"/>
      <c r="C686" s="26"/>
      <c r="D686" s="26"/>
      <c r="E686" s="24">
        <v>0</v>
      </c>
      <c r="F686" s="24"/>
      <c r="G686" s="1">
        <f>((Fórmulas!C$7/Fórmulas!D$7)/Fórmulas!E$7)*E686</f>
        <v>0</v>
      </c>
      <c r="H686" s="1">
        <f>G686*Fórmulas!B$9</f>
        <v>0</v>
      </c>
      <c r="I686" s="7">
        <f>E686/Fórmulas!E$7</f>
        <v>0</v>
      </c>
      <c r="J686" s="17">
        <f>G686*Fórmulas!B$10</f>
        <v>0</v>
      </c>
      <c r="K686" s="1">
        <v>1</v>
      </c>
      <c r="L686" s="1">
        <f>((Fórmulas!C$6/Fórmulas!D$6)/0.7)*K686</f>
        <v>2.4489795918367347</v>
      </c>
      <c r="M686" s="1">
        <f>L686*Fórmulas!D$6</f>
        <v>857.14285714285711</v>
      </c>
    </row>
    <row r="687" spans="1:13" x14ac:dyDescent="0.25">
      <c r="A687" s="24"/>
      <c r="B687" s="26"/>
      <c r="C687" s="26"/>
      <c r="D687" s="26"/>
      <c r="E687" s="24">
        <v>0</v>
      </c>
      <c r="F687" s="24"/>
      <c r="G687" s="1">
        <f>((Fórmulas!C$7/Fórmulas!D$7)/Fórmulas!E$7)*E687</f>
        <v>0</v>
      </c>
      <c r="H687" s="1">
        <f>G687*Fórmulas!B$9</f>
        <v>0</v>
      </c>
      <c r="I687" s="7">
        <f>E687/Fórmulas!E$7</f>
        <v>0</v>
      </c>
      <c r="J687" s="17">
        <f>G687*Fórmulas!B$10</f>
        <v>0</v>
      </c>
      <c r="K687" s="1">
        <v>1</v>
      </c>
      <c r="L687" s="1">
        <f>((Fórmulas!C$6/Fórmulas!D$6)/0.7)*K687</f>
        <v>2.4489795918367347</v>
      </c>
      <c r="M687" s="1">
        <f>L687*Fórmulas!D$6</f>
        <v>857.14285714285711</v>
      </c>
    </row>
    <row r="688" spans="1:13" x14ac:dyDescent="0.25">
      <c r="A688" s="24"/>
      <c r="B688" s="26"/>
      <c r="C688" s="26"/>
      <c r="D688" s="26"/>
      <c r="E688" s="24">
        <v>0</v>
      </c>
      <c r="F688" s="24"/>
      <c r="G688" s="1">
        <f>((Fórmulas!C$7/Fórmulas!D$7)/Fórmulas!E$7)*E688</f>
        <v>0</v>
      </c>
      <c r="H688" s="1">
        <f>G688*Fórmulas!B$9</f>
        <v>0</v>
      </c>
      <c r="I688" s="7">
        <f>E688/Fórmulas!E$7</f>
        <v>0</v>
      </c>
      <c r="J688" s="17">
        <f>G688*Fórmulas!B$10</f>
        <v>0</v>
      </c>
      <c r="K688" s="1">
        <v>1</v>
      </c>
      <c r="L688" s="1">
        <f>((Fórmulas!C$6/Fórmulas!D$6)/0.7)*K688</f>
        <v>2.4489795918367347</v>
      </c>
      <c r="M688" s="1">
        <f>L688*Fórmulas!D$6</f>
        <v>857.14285714285711</v>
      </c>
    </row>
    <row r="689" spans="1:13" x14ac:dyDescent="0.25">
      <c r="A689" s="24"/>
      <c r="B689" s="26"/>
      <c r="C689" s="26"/>
      <c r="D689" s="26"/>
      <c r="E689" s="24">
        <v>0</v>
      </c>
      <c r="F689" s="24"/>
      <c r="G689" s="1">
        <f>((Fórmulas!C$7/Fórmulas!D$7)/Fórmulas!E$7)*E689</f>
        <v>0</v>
      </c>
      <c r="H689" s="1">
        <f>G689*Fórmulas!B$9</f>
        <v>0</v>
      </c>
      <c r="I689" s="7">
        <f>E689/Fórmulas!E$7</f>
        <v>0</v>
      </c>
      <c r="J689" s="17">
        <f>G689*Fórmulas!B$10</f>
        <v>0</v>
      </c>
      <c r="K689" s="1">
        <v>1</v>
      </c>
      <c r="L689" s="1">
        <f>((Fórmulas!C$6/Fórmulas!D$6)/0.7)*K689</f>
        <v>2.4489795918367347</v>
      </c>
      <c r="M689" s="1">
        <f>L689*Fórmulas!D$6</f>
        <v>857.14285714285711</v>
      </c>
    </row>
    <row r="690" spans="1:13" x14ac:dyDescent="0.25">
      <c r="A690" s="24"/>
      <c r="B690" s="26"/>
      <c r="C690" s="26"/>
      <c r="D690" s="26"/>
      <c r="E690" s="24">
        <v>0</v>
      </c>
      <c r="F690" s="24"/>
      <c r="G690" s="1">
        <f>((Fórmulas!C$7/Fórmulas!D$7)/Fórmulas!E$7)*E690</f>
        <v>0</v>
      </c>
      <c r="H690" s="1">
        <f>G690*Fórmulas!B$9</f>
        <v>0</v>
      </c>
      <c r="I690" s="7">
        <f>E690/Fórmulas!E$7</f>
        <v>0</v>
      </c>
      <c r="J690" s="17">
        <f>G690*Fórmulas!B$10</f>
        <v>0</v>
      </c>
      <c r="K690" s="1">
        <v>1</v>
      </c>
      <c r="L690" s="1">
        <f>((Fórmulas!C$6/Fórmulas!D$6)/0.7)*K690</f>
        <v>2.4489795918367347</v>
      </c>
      <c r="M690" s="1">
        <f>L690*Fórmulas!D$6</f>
        <v>857.14285714285711</v>
      </c>
    </row>
    <row r="691" spans="1:13" x14ac:dyDescent="0.25">
      <c r="A691" s="24"/>
      <c r="B691" s="26"/>
      <c r="C691" s="26"/>
      <c r="D691" s="26"/>
      <c r="E691" s="24">
        <v>0</v>
      </c>
      <c r="F691" s="24"/>
      <c r="G691" s="1">
        <f>((Fórmulas!C$7/Fórmulas!D$7)/Fórmulas!E$7)*E691</f>
        <v>0</v>
      </c>
      <c r="H691" s="1">
        <f>G691*Fórmulas!B$9</f>
        <v>0</v>
      </c>
      <c r="I691" s="7">
        <f>E691/Fórmulas!E$7</f>
        <v>0</v>
      </c>
      <c r="J691" s="17">
        <f>G691*Fórmulas!B$10</f>
        <v>0</v>
      </c>
      <c r="K691" s="1">
        <v>1</v>
      </c>
      <c r="L691" s="1">
        <f>((Fórmulas!C$6/Fórmulas!D$6)/0.7)*K691</f>
        <v>2.4489795918367347</v>
      </c>
      <c r="M691" s="1">
        <f>L691*Fórmulas!D$6</f>
        <v>857.14285714285711</v>
      </c>
    </row>
    <row r="692" spans="1:13" x14ac:dyDescent="0.25">
      <c r="A692" s="24"/>
      <c r="B692" s="26"/>
      <c r="C692" s="26"/>
      <c r="D692" s="26"/>
      <c r="E692" s="24">
        <v>0</v>
      </c>
      <c r="F692" s="24"/>
      <c r="G692" s="1">
        <f>((Fórmulas!C$7/Fórmulas!D$7)/Fórmulas!E$7)*E692</f>
        <v>0</v>
      </c>
      <c r="H692" s="1">
        <f>G692*Fórmulas!B$9</f>
        <v>0</v>
      </c>
      <c r="I692" s="7">
        <f>E692/Fórmulas!E$7</f>
        <v>0</v>
      </c>
      <c r="J692" s="17">
        <f>G692*Fórmulas!B$10</f>
        <v>0</v>
      </c>
      <c r="K692" s="1">
        <v>1</v>
      </c>
      <c r="L692" s="1">
        <f>((Fórmulas!C$6/Fórmulas!D$6)/0.7)*K692</f>
        <v>2.4489795918367347</v>
      </c>
      <c r="M692" s="1">
        <f>L692*Fórmulas!D$6</f>
        <v>857.14285714285711</v>
      </c>
    </row>
    <row r="693" spans="1:13" x14ac:dyDescent="0.25">
      <c r="A693" s="24"/>
      <c r="B693" s="26"/>
      <c r="C693" s="26"/>
      <c r="D693" s="26"/>
      <c r="E693" s="24">
        <v>0</v>
      </c>
      <c r="F693" s="24"/>
      <c r="G693" s="1">
        <f>((Fórmulas!C$7/Fórmulas!D$7)/Fórmulas!E$7)*E693</f>
        <v>0</v>
      </c>
      <c r="H693" s="1">
        <f>G693*Fórmulas!B$9</f>
        <v>0</v>
      </c>
      <c r="I693" s="7">
        <f>E693/Fórmulas!E$7</f>
        <v>0</v>
      </c>
      <c r="J693" s="17">
        <f>G693*Fórmulas!B$10</f>
        <v>0</v>
      </c>
      <c r="K693" s="1">
        <v>1</v>
      </c>
      <c r="L693" s="1">
        <f>((Fórmulas!C$6/Fórmulas!D$6)/0.7)*K693</f>
        <v>2.4489795918367347</v>
      </c>
      <c r="M693" s="1">
        <f>L693*Fórmulas!D$6</f>
        <v>857.14285714285711</v>
      </c>
    </row>
    <row r="694" spans="1:13" x14ac:dyDescent="0.25">
      <c r="A694" s="24"/>
      <c r="B694" s="26"/>
      <c r="C694" s="26"/>
      <c r="D694" s="26"/>
      <c r="E694" s="24">
        <v>0</v>
      </c>
      <c r="F694" s="24"/>
      <c r="G694" s="1">
        <f>((Fórmulas!C$7/Fórmulas!D$7)/Fórmulas!E$7)*E694</f>
        <v>0</v>
      </c>
      <c r="H694" s="1">
        <f>G694*Fórmulas!B$9</f>
        <v>0</v>
      </c>
      <c r="I694" s="7">
        <f>E694/Fórmulas!E$7</f>
        <v>0</v>
      </c>
      <c r="J694" s="17">
        <f>G694*Fórmulas!B$10</f>
        <v>0</v>
      </c>
      <c r="K694" s="1">
        <v>1</v>
      </c>
      <c r="L694" s="1">
        <f>((Fórmulas!C$6/Fórmulas!D$6)/0.7)*K694</f>
        <v>2.4489795918367347</v>
      </c>
      <c r="M694" s="1">
        <f>L694*Fórmulas!D$6</f>
        <v>857.14285714285711</v>
      </c>
    </row>
    <row r="695" spans="1:13" x14ac:dyDescent="0.25">
      <c r="A695" s="24"/>
      <c r="B695" s="26"/>
      <c r="C695" s="26"/>
      <c r="D695" s="26"/>
      <c r="E695" s="24">
        <v>0</v>
      </c>
      <c r="F695" s="24"/>
      <c r="G695" s="1">
        <f>((Fórmulas!C$7/Fórmulas!D$7)/Fórmulas!E$7)*E695</f>
        <v>0</v>
      </c>
      <c r="H695" s="1">
        <f>G695*Fórmulas!B$9</f>
        <v>0</v>
      </c>
      <c r="I695" s="7">
        <f>E695/Fórmulas!E$7</f>
        <v>0</v>
      </c>
      <c r="J695" s="17">
        <f>G695*Fórmulas!B$10</f>
        <v>0</v>
      </c>
      <c r="K695" s="1">
        <v>1</v>
      </c>
      <c r="L695" s="1">
        <f>((Fórmulas!C$6/Fórmulas!D$6)/0.7)*K695</f>
        <v>2.4489795918367347</v>
      </c>
      <c r="M695" s="1">
        <f>L695*Fórmulas!D$6</f>
        <v>857.14285714285711</v>
      </c>
    </row>
    <row r="696" spans="1:13" x14ac:dyDescent="0.25">
      <c r="A696" s="24"/>
      <c r="B696" s="26"/>
      <c r="C696" s="26"/>
      <c r="D696" s="26"/>
      <c r="E696" s="24">
        <v>0</v>
      </c>
      <c r="F696" s="24"/>
      <c r="G696" s="1">
        <f>((Fórmulas!C$7/Fórmulas!D$7)/Fórmulas!E$7)*E696</f>
        <v>0</v>
      </c>
      <c r="H696" s="1">
        <f>G696*Fórmulas!B$9</f>
        <v>0</v>
      </c>
      <c r="I696" s="7">
        <f>E696/Fórmulas!E$7</f>
        <v>0</v>
      </c>
      <c r="J696" s="17">
        <f>G696*Fórmulas!B$10</f>
        <v>0</v>
      </c>
      <c r="K696" s="1">
        <v>1</v>
      </c>
      <c r="L696" s="1">
        <f>((Fórmulas!C$6/Fórmulas!D$6)/0.7)*K696</f>
        <v>2.4489795918367347</v>
      </c>
      <c r="M696" s="1">
        <f>L696*Fórmulas!D$6</f>
        <v>857.14285714285711</v>
      </c>
    </row>
  </sheetData>
  <mergeCells count="690">
    <mergeCell ref="B634:D634"/>
    <mergeCell ref="B635:D635"/>
    <mergeCell ref="B636:D636"/>
    <mergeCell ref="B368:D368"/>
    <mergeCell ref="B369:D369"/>
    <mergeCell ref="B370:D370"/>
    <mergeCell ref="B371:D371"/>
    <mergeCell ref="B372:D372"/>
    <mergeCell ref="B625:D625"/>
    <mergeCell ref="B626:D626"/>
    <mergeCell ref="B627:D627"/>
    <mergeCell ref="B628:D628"/>
    <mergeCell ref="B629:D629"/>
    <mergeCell ref="B630:D630"/>
    <mergeCell ref="B631:D631"/>
    <mergeCell ref="B632:D632"/>
    <mergeCell ref="B633:D633"/>
    <mergeCell ref="B688:D688"/>
    <mergeCell ref="B689:D689"/>
    <mergeCell ref="B690:D690"/>
    <mergeCell ref="B691:D691"/>
    <mergeCell ref="B692:D692"/>
    <mergeCell ref="B693:D693"/>
    <mergeCell ref="B694:D694"/>
    <mergeCell ref="B695:D695"/>
    <mergeCell ref="B696:D696"/>
    <mergeCell ref="B679:D679"/>
    <mergeCell ref="B680:D680"/>
    <mergeCell ref="B681:D681"/>
    <mergeCell ref="B682:D682"/>
    <mergeCell ref="B683:D683"/>
    <mergeCell ref="B684:D684"/>
    <mergeCell ref="B685:D685"/>
    <mergeCell ref="B686:D686"/>
    <mergeCell ref="B687:D687"/>
    <mergeCell ref="B599:D599"/>
    <mergeCell ref="B600:D600"/>
    <mergeCell ref="B601:D601"/>
    <mergeCell ref="B602:D602"/>
    <mergeCell ref="B603:D603"/>
    <mergeCell ref="B604:D604"/>
    <mergeCell ref="B605:D605"/>
    <mergeCell ref="B618:D618"/>
    <mergeCell ref="B606:D606"/>
    <mergeCell ref="B607:D607"/>
    <mergeCell ref="B608:D608"/>
    <mergeCell ref="B609:D609"/>
    <mergeCell ref="B610:D610"/>
    <mergeCell ref="B611:D611"/>
    <mergeCell ref="B612:D612"/>
    <mergeCell ref="B613:D613"/>
    <mergeCell ref="B614:D614"/>
    <mergeCell ref="B615:D615"/>
    <mergeCell ref="B616:D616"/>
    <mergeCell ref="B617:D617"/>
    <mergeCell ref="B590:D590"/>
    <mergeCell ref="B594:D594"/>
    <mergeCell ref="B595:D595"/>
    <mergeCell ref="B596:D596"/>
    <mergeCell ref="B597:D597"/>
    <mergeCell ref="B598:D598"/>
    <mergeCell ref="B206:D206"/>
    <mergeCell ref="B207:D207"/>
    <mergeCell ref="B197:D197"/>
    <mergeCell ref="B198:D198"/>
    <mergeCell ref="B199:D199"/>
    <mergeCell ref="B200:D200"/>
    <mergeCell ref="B201:D201"/>
    <mergeCell ref="B202:D202"/>
    <mergeCell ref="B203:D203"/>
    <mergeCell ref="B204:D204"/>
    <mergeCell ref="B205:D205"/>
    <mergeCell ref="B623:D623"/>
    <mergeCell ref="B624:D624"/>
    <mergeCell ref="B250:D250"/>
    <mergeCell ref="B258:D258"/>
    <mergeCell ref="B622:D622"/>
    <mergeCell ref="B571:D571"/>
    <mergeCell ref="B572:D572"/>
    <mergeCell ref="B581:D581"/>
    <mergeCell ref="B589:D589"/>
    <mergeCell ref="B561:D561"/>
    <mergeCell ref="B562:D562"/>
    <mergeCell ref="B563:D563"/>
    <mergeCell ref="B619:D619"/>
    <mergeCell ref="B620:D620"/>
    <mergeCell ref="B621:D621"/>
    <mergeCell ref="B554:D554"/>
    <mergeCell ref="B555:D555"/>
    <mergeCell ref="B556:D556"/>
    <mergeCell ref="B557:D557"/>
    <mergeCell ref="B559:D559"/>
    <mergeCell ref="B560:D560"/>
    <mergeCell ref="B546:D546"/>
    <mergeCell ref="B547:D547"/>
    <mergeCell ref="B548:D548"/>
    <mergeCell ref="B549:D549"/>
    <mergeCell ref="B550:D550"/>
    <mergeCell ref="B551:D551"/>
    <mergeCell ref="B540:D540"/>
    <mergeCell ref="B541:D541"/>
    <mergeCell ref="B542:D542"/>
    <mergeCell ref="B543:D543"/>
    <mergeCell ref="B544:D544"/>
    <mergeCell ref="B545:D545"/>
    <mergeCell ref="B534:D534"/>
    <mergeCell ref="B535:D535"/>
    <mergeCell ref="B536:D536"/>
    <mergeCell ref="B537:D537"/>
    <mergeCell ref="B538:D538"/>
    <mergeCell ref="B539:D539"/>
    <mergeCell ref="B532:D532"/>
    <mergeCell ref="B533:D533"/>
    <mergeCell ref="B527:D527"/>
    <mergeCell ref="B528:D528"/>
    <mergeCell ref="B529:D529"/>
    <mergeCell ref="B530:D530"/>
    <mergeCell ref="B531:D531"/>
    <mergeCell ref="B522:D522"/>
    <mergeCell ref="B523:D523"/>
    <mergeCell ref="B524:D524"/>
    <mergeCell ref="B525:D525"/>
    <mergeCell ref="B526:D526"/>
    <mergeCell ref="B518:D518"/>
    <mergeCell ref="B519:D519"/>
    <mergeCell ref="B520:D520"/>
    <mergeCell ref="B521:D521"/>
    <mergeCell ref="B514:D514"/>
    <mergeCell ref="B515:D515"/>
    <mergeCell ref="B516:D516"/>
    <mergeCell ref="B517:D517"/>
    <mergeCell ref="B508:D508"/>
    <mergeCell ref="B509:D509"/>
    <mergeCell ref="B510:D510"/>
    <mergeCell ref="B512:D512"/>
    <mergeCell ref="B511:D511"/>
    <mergeCell ref="B513:D513"/>
    <mergeCell ref="B507:D507"/>
    <mergeCell ref="B506:D506"/>
    <mergeCell ref="B500:D500"/>
    <mergeCell ref="B501:D501"/>
    <mergeCell ref="B502:D502"/>
    <mergeCell ref="B503:D503"/>
    <mergeCell ref="B504:D504"/>
    <mergeCell ref="B505:D505"/>
    <mergeCell ref="B481:D481"/>
    <mergeCell ref="B482:D482"/>
    <mergeCell ref="B483:D483"/>
    <mergeCell ref="B484:D484"/>
    <mergeCell ref="B485:D485"/>
    <mergeCell ref="B499:D499"/>
    <mergeCell ref="B492:D492"/>
    <mergeCell ref="B493:D493"/>
    <mergeCell ref="B494:D494"/>
    <mergeCell ref="B495:D495"/>
    <mergeCell ref="B496:D496"/>
    <mergeCell ref="B497:D497"/>
    <mergeCell ref="B498:D498"/>
    <mergeCell ref="B486:D486"/>
    <mergeCell ref="B487:D487"/>
    <mergeCell ref="B467:D467"/>
    <mergeCell ref="B468:D468"/>
    <mergeCell ref="B469:D469"/>
    <mergeCell ref="B461:D461"/>
    <mergeCell ref="B462:D462"/>
    <mergeCell ref="B463:D463"/>
    <mergeCell ref="B464:D464"/>
    <mergeCell ref="B465:D465"/>
    <mergeCell ref="B466:D466"/>
    <mergeCell ref="B457:D457"/>
    <mergeCell ref="B458:D458"/>
    <mergeCell ref="B459:D459"/>
    <mergeCell ref="B460:D460"/>
    <mergeCell ref="B449:D449"/>
    <mergeCell ref="B450:D450"/>
    <mergeCell ref="B451:D451"/>
    <mergeCell ref="B452:D452"/>
    <mergeCell ref="B453:D453"/>
    <mergeCell ref="B454:D454"/>
    <mergeCell ref="B400:D400"/>
    <mergeCell ref="B401:D401"/>
    <mergeCell ref="B402:D402"/>
    <mergeCell ref="B403:D403"/>
    <mergeCell ref="B404:D404"/>
    <mergeCell ref="B405:D405"/>
    <mergeCell ref="B394:D394"/>
    <mergeCell ref="B395:D395"/>
    <mergeCell ref="B396:D396"/>
    <mergeCell ref="B397:D397"/>
    <mergeCell ref="B398:D398"/>
    <mergeCell ref="B399:D399"/>
    <mergeCell ref="B390:D390"/>
    <mergeCell ref="B391:D391"/>
    <mergeCell ref="B392:D392"/>
    <mergeCell ref="B393:D393"/>
    <mergeCell ref="B384:D384"/>
    <mergeCell ref="B385:D385"/>
    <mergeCell ref="B386:D386"/>
    <mergeCell ref="B388:D388"/>
    <mergeCell ref="B387:D387"/>
    <mergeCell ref="B389:D389"/>
    <mergeCell ref="B383:D383"/>
    <mergeCell ref="B379:D379"/>
    <mergeCell ref="B380:D380"/>
    <mergeCell ref="B381:D381"/>
    <mergeCell ref="B382:D382"/>
    <mergeCell ref="B373:D373"/>
    <mergeCell ref="B374:D374"/>
    <mergeCell ref="B375:D375"/>
    <mergeCell ref="B376:D376"/>
    <mergeCell ref="B377:D377"/>
    <mergeCell ref="B378:D378"/>
    <mergeCell ref="B365:D365"/>
    <mergeCell ref="B366:D366"/>
    <mergeCell ref="B367:D367"/>
    <mergeCell ref="B357:D357"/>
    <mergeCell ref="B358:D358"/>
    <mergeCell ref="B359:D359"/>
    <mergeCell ref="B360:D360"/>
    <mergeCell ref="B361:D361"/>
    <mergeCell ref="B363:D363"/>
    <mergeCell ref="B351:D351"/>
    <mergeCell ref="B352:D352"/>
    <mergeCell ref="B353:D353"/>
    <mergeCell ref="B354:D354"/>
    <mergeCell ref="B355:D355"/>
    <mergeCell ref="B356:D356"/>
    <mergeCell ref="B345:D345"/>
    <mergeCell ref="B346:D346"/>
    <mergeCell ref="B347:D347"/>
    <mergeCell ref="B348:D348"/>
    <mergeCell ref="B349:D349"/>
    <mergeCell ref="B350:D350"/>
    <mergeCell ref="B343:D343"/>
    <mergeCell ref="B344:D344"/>
    <mergeCell ref="B340:D340"/>
    <mergeCell ref="B341:D341"/>
    <mergeCell ref="B342:D342"/>
    <mergeCell ref="B334:D334"/>
    <mergeCell ref="B335:D335"/>
    <mergeCell ref="B336:D336"/>
    <mergeCell ref="B337:D337"/>
    <mergeCell ref="B338:D338"/>
    <mergeCell ref="B339:D339"/>
    <mergeCell ref="B328:D328"/>
    <mergeCell ref="B329:D329"/>
    <mergeCell ref="B330:D330"/>
    <mergeCell ref="B331:D331"/>
    <mergeCell ref="B332:D332"/>
    <mergeCell ref="B333:D333"/>
    <mergeCell ref="B322:D322"/>
    <mergeCell ref="B323:D323"/>
    <mergeCell ref="B324:D324"/>
    <mergeCell ref="B325:D325"/>
    <mergeCell ref="B326:D326"/>
    <mergeCell ref="B327:D327"/>
    <mergeCell ref="B316:D316"/>
    <mergeCell ref="B317:D317"/>
    <mergeCell ref="B318:D318"/>
    <mergeCell ref="B319:D319"/>
    <mergeCell ref="B320:D320"/>
    <mergeCell ref="B321:D321"/>
    <mergeCell ref="B310:D310"/>
    <mergeCell ref="B311:D311"/>
    <mergeCell ref="B312:D312"/>
    <mergeCell ref="B313:D313"/>
    <mergeCell ref="B314:D314"/>
    <mergeCell ref="B315:D315"/>
    <mergeCell ref="B304:D304"/>
    <mergeCell ref="B305:D305"/>
    <mergeCell ref="B306:D306"/>
    <mergeCell ref="B307:D307"/>
    <mergeCell ref="B308:D308"/>
    <mergeCell ref="B309:D309"/>
    <mergeCell ref="B298:D298"/>
    <mergeCell ref="B299:D299"/>
    <mergeCell ref="B300:D300"/>
    <mergeCell ref="B301:D301"/>
    <mergeCell ref="B302:D302"/>
    <mergeCell ref="B303:D303"/>
    <mergeCell ref="B296:D296"/>
    <mergeCell ref="B297:D297"/>
    <mergeCell ref="B293:D293"/>
    <mergeCell ref="B294:D294"/>
    <mergeCell ref="B295:D295"/>
    <mergeCell ref="B287:D287"/>
    <mergeCell ref="B288:D288"/>
    <mergeCell ref="B289:D289"/>
    <mergeCell ref="B290:D290"/>
    <mergeCell ref="B291:D291"/>
    <mergeCell ref="B292:D292"/>
    <mergeCell ref="B281:D281"/>
    <mergeCell ref="B282:D282"/>
    <mergeCell ref="B283:D283"/>
    <mergeCell ref="B284:D284"/>
    <mergeCell ref="B285:D285"/>
    <mergeCell ref="B286:D286"/>
    <mergeCell ref="B275:D275"/>
    <mergeCell ref="B276:D276"/>
    <mergeCell ref="B277:D277"/>
    <mergeCell ref="B278:D278"/>
    <mergeCell ref="B279:D279"/>
    <mergeCell ref="B280:D280"/>
    <mergeCell ref="B269:D269"/>
    <mergeCell ref="B270:D270"/>
    <mergeCell ref="B271:D271"/>
    <mergeCell ref="B272:D272"/>
    <mergeCell ref="B273:D273"/>
    <mergeCell ref="B274:D274"/>
    <mergeCell ref="B263:D263"/>
    <mergeCell ref="B264:D264"/>
    <mergeCell ref="B265:D265"/>
    <mergeCell ref="B266:D266"/>
    <mergeCell ref="B267:D267"/>
    <mergeCell ref="B268:D268"/>
    <mergeCell ref="B256:D256"/>
    <mergeCell ref="B257:D257"/>
    <mergeCell ref="B259:D259"/>
    <mergeCell ref="B260:D260"/>
    <mergeCell ref="B261:D261"/>
    <mergeCell ref="B262:D262"/>
    <mergeCell ref="B247:D247"/>
    <mergeCell ref="B248:D248"/>
    <mergeCell ref="B249:D249"/>
    <mergeCell ref="B252:D252"/>
    <mergeCell ref="B254:D254"/>
    <mergeCell ref="B255:D255"/>
    <mergeCell ref="B253:D253"/>
    <mergeCell ref="B244:D244"/>
    <mergeCell ref="B245:D245"/>
    <mergeCell ref="B246:D246"/>
    <mergeCell ref="B251:D251"/>
    <mergeCell ref="B241:D241"/>
    <mergeCell ref="B242:D242"/>
    <mergeCell ref="B243:D243"/>
    <mergeCell ref="B238:D238"/>
    <mergeCell ref="B239:D239"/>
    <mergeCell ref="B240:D240"/>
    <mergeCell ref="B235:D235"/>
    <mergeCell ref="B236:D236"/>
    <mergeCell ref="B237:D237"/>
    <mergeCell ref="B229:D229"/>
    <mergeCell ref="B230:D230"/>
    <mergeCell ref="B231:D231"/>
    <mergeCell ref="B232:D232"/>
    <mergeCell ref="B233:D233"/>
    <mergeCell ref="B234:D234"/>
    <mergeCell ref="B225:D225"/>
    <mergeCell ref="B226:D226"/>
    <mergeCell ref="B227:D227"/>
    <mergeCell ref="B228:D228"/>
    <mergeCell ref="B219:D219"/>
    <mergeCell ref="B220:D220"/>
    <mergeCell ref="B221:D221"/>
    <mergeCell ref="B222:D222"/>
    <mergeCell ref="B223:D223"/>
    <mergeCell ref="B224:D224"/>
    <mergeCell ref="B213:D213"/>
    <mergeCell ref="B214:D214"/>
    <mergeCell ref="B215:D215"/>
    <mergeCell ref="B216:D216"/>
    <mergeCell ref="B217:D217"/>
    <mergeCell ref="B218:D218"/>
    <mergeCell ref="B184:D184"/>
    <mergeCell ref="B208:D208"/>
    <mergeCell ref="B209:D209"/>
    <mergeCell ref="B210:D210"/>
    <mergeCell ref="B211:D211"/>
    <mergeCell ref="B212:D212"/>
    <mergeCell ref="B185:D185"/>
    <mergeCell ref="B186:D186"/>
    <mergeCell ref="B187:D187"/>
    <mergeCell ref="B188:D188"/>
    <mergeCell ref="B189:D189"/>
    <mergeCell ref="B190:D190"/>
    <mergeCell ref="B191:D191"/>
    <mergeCell ref="B192:D192"/>
    <mergeCell ref="B193:D193"/>
    <mergeCell ref="B194:D194"/>
    <mergeCell ref="B195:D195"/>
    <mergeCell ref="B196:D196"/>
    <mergeCell ref="B178:D178"/>
    <mergeCell ref="B179:D179"/>
    <mergeCell ref="B180:D180"/>
    <mergeCell ref="B181:D181"/>
    <mergeCell ref="B182:D182"/>
    <mergeCell ref="B183:D183"/>
    <mergeCell ref="B175:D175"/>
    <mergeCell ref="B176:D176"/>
    <mergeCell ref="B177:D177"/>
    <mergeCell ref="B173:D173"/>
    <mergeCell ref="B174:D174"/>
    <mergeCell ref="B167:D167"/>
    <mergeCell ref="B168:D168"/>
    <mergeCell ref="B169:D169"/>
    <mergeCell ref="B170:D170"/>
    <mergeCell ref="B171:D171"/>
    <mergeCell ref="B172:D172"/>
    <mergeCell ref="B161:D161"/>
    <mergeCell ref="B162:D162"/>
    <mergeCell ref="B163:D163"/>
    <mergeCell ref="B164:D164"/>
    <mergeCell ref="B165:D165"/>
    <mergeCell ref="B166:D166"/>
    <mergeCell ref="B155:D155"/>
    <mergeCell ref="B156:D156"/>
    <mergeCell ref="B157:D157"/>
    <mergeCell ref="B158:D158"/>
    <mergeCell ref="B159:D159"/>
    <mergeCell ref="B160:D160"/>
    <mergeCell ref="B149:D149"/>
    <mergeCell ref="B150:D150"/>
    <mergeCell ref="B151:D151"/>
    <mergeCell ref="B152:D152"/>
    <mergeCell ref="B153:D153"/>
    <mergeCell ref="B154:D154"/>
    <mergeCell ref="B143:D143"/>
    <mergeCell ref="B144:D144"/>
    <mergeCell ref="B145:D145"/>
    <mergeCell ref="B146:D146"/>
    <mergeCell ref="B147:D147"/>
    <mergeCell ref="B148:D148"/>
    <mergeCell ref="B137:D137"/>
    <mergeCell ref="B138:D138"/>
    <mergeCell ref="B139:D139"/>
    <mergeCell ref="B140:D140"/>
    <mergeCell ref="B141:D141"/>
    <mergeCell ref="B142:D142"/>
    <mergeCell ref="B131:D131"/>
    <mergeCell ref="B132:D132"/>
    <mergeCell ref="B133:D133"/>
    <mergeCell ref="B134:D134"/>
    <mergeCell ref="B135:D135"/>
    <mergeCell ref="B136:D136"/>
    <mergeCell ref="B125:D125"/>
    <mergeCell ref="B126:D126"/>
    <mergeCell ref="B127:D127"/>
    <mergeCell ref="B128:D128"/>
    <mergeCell ref="B129:D129"/>
    <mergeCell ref="B130:D130"/>
    <mergeCell ref="B119:D119"/>
    <mergeCell ref="B120:D120"/>
    <mergeCell ref="B121:D121"/>
    <mergeCell ref="B122:D122"/>
    <mergeCell ref="B123:D123"/>
    <mergeCell ref="B124:D124"/>
    <mergeCell ref="B113:D113"/>
    <mergeCell ref="B114:D114"/>
    <mergeCell ref="B115:D115"/>
    <mergeCell ref="B116:D116"/>
    <mergeCell ref="B117:D117"/>
    <mergeCell ref="B118:D118"/>
    <mergeCell ref="B107:D107"/>
    <mergeCell ref="B108:D108"/>
    <mergeCell ref="B109:D109"/>
    <mergeCell ref="B110:D110"/>
    <mergeCell ref="B111:D111"/>
    <mergeCell ref="B112:D112"/>
    <mergeCell ref="B101:D101"/>
    <mergeCell ref="B102:D102"/>
    <mergeCell ref="B103:D103"/>
    <mergeCell ref="B104:D104"/>
    <mergeCell ref="B105:D105"/>
    <mergeCell ref="B106:D106"/>
    <mergeCell ref="B95:D95"/>
    <mergeCell ref="B96:D96"/>
    <mergeCell ref="B97:D97"/>
    <mergeCell ref="B98:D98"/>
    <mergeCell ref="B99:D99"/>
    <mergeCell ref="B100:D100"/>
    <mergeCell ref="B89:D89"/>
    <mergeCell ref="B90:D90"/>
    <mergeCell ref="B91:D91"/>
    <mergeCell ref="B92:D92"/>
    <mergeCell ref="B93:D93"/>
    <mergeCell ref="B94:D94"/>
    <mergeCell ref="B83:D83"/>
    <mergeCell ref="B84:D84"/>
    <mergeCell ref="B85:D85"/>
    <mergeCell ref="B86:D86"/>
    <mergeCell ref="B87:D87"/>
    <mergeCell ref="B88:D88"/>
    <mergeCell ref="B77:D77"/>
    <mergeCell ref="B78:D78"/>
    <mergeCell ref="B79:D79"/>
    <mergeCell ref="B80:D80"/>
    <mergeCell ref="B81:D81"/>
    <mergeCell ref="B82:D82"/>
    <mergeCell ref="B71:D71"/>
    <mergeCell ref="B72:D72"/>
    <mergeCell ref="B73:D73"/>
    <mergeCell ref="B74:D74"/>
    <mergeCell ref="B75:D75"/>
    <mergeCell ref="B76:D76"/>
    <mergeCell ref="B65:D65"/>
    <mergeCell ref="B66:D66"/>
    <mergeCell ref="B67:D67"/>
    <mergeCell ref="B68:D68"/>
    <mergeCell ref="B69:D69"/>
    <mergeCell ref="B70:D70"/>
    <mergeCell ref="B59:D59"/>
    <mergeCell ref="B60:D60"/>
    <mergeCell ref="B61:D61"/>
    <mergeCell ref="B62:D62"/>
    <mergeCell ref="B63:D63"/>
    <mergeCell ref="B64:D64"/>
    <mergeCell ref="B53:D53"/>
    <mergeCell ref="B54:D54"/>
    <mergeCell ref="B55:D55"/>
    <mergeCell ref="B56:D56"/>
    <mergeCell ref="B57:D57"/>
    <mergeCell ref="B58:D58"/>
    <mergeCell ref="B47:D47"/>
    <mergeCell ref="B48:D48"/>
    <mergeCell ref="B49:D49"/>
    <mergeCell ref="B50:D50"/>
    <mergeCell ref="B51:D51"/>
    <mergeCell ref="B52:D52"/>
    <mergeCell ref="B41:D41"/>
    <mergeCell ref="B42:D42"/>
    <mergeCell ref="B43:D43"/>
    <mergeCell ref="B44:D44"/>
    <mergeCell ref="B45:D45"/>
    <mergeCell ref="B46:D46"/>
    <mergeCell ref="B36:D36"/>
    <mergeCell ref="B37:D37"/>
    <mergeCell ref="B38:D38"/>
    <mergeCell ref="B39:D39"/>
    <mergeCell ref="B40:D40"/>
    <mergeCell ref="B29:D29"/>
    <mergeCell ref="B30:D30"/>
    <mergeCell ref="B31:D31"/>
    <mergeCell ref="B32:D32"/>
    <mergeCell ref="B33:D33"/>
    <mergeCell ref="B34:D34"/>
    <mergeCell ref="B27:D27"/>
    <mergeCell ref="B28:D28"/>
    <mergeCell ref="B17:D17"/>
    <mergeCell ref="B18:D18"/>
    <mergeCell ref="B19:D19"/>
    <mergeCell ref="B20:D20"/>
    <mergeCell ref="B21:D21"/>
    <mergeCell ref="B22:D22"/>
    <mergeCell ref="B35:D35"/>
    <mergeCell ref="E4:I4"/>
    <mergeCell ref="K4:M4"/>
    <mergeCell ref="B5:D5"/>
    <mergeCell ref="B6:D6"/>
    <mergeCell ref="B362:D362"/>
    <mergeCell ref="B364:D364"/>
    <mergeCell ref="B475:D475"/>
    <mergeCell ref="B474:D474"/>
    <mergeCell ref="B473:D473"/>
    <mergeCell ref="B472:D472"/>
    <mergeCell ref="B11:D11"/>
    <mergeCell ref="B12:D12"/>
    <mergeCell ref="B13:D13"/>
    <mergeCell ref="B14:D14"/>
    <mergeCell ref="B15:D15"/>
    <mergeCell ref="B16:D16"/>
    <mergeCell ref="B7:D7"/>
    <mergeCell ref="B8:D8"/>
    <mergeCell ref="B9:D9"/>
    <mergeCell ref="B10:D10"/>
    <mergeCell ref="B23:D23"/>
    <mergeCell ref="B24:D24"/>
    <mergeCell ref="B25:D25"/>
    <mergeCell ref="B26:D26"/>
    <mergeCell ref="B645:D645"/>
    <mergeCell ref="B646:D646"/>
    <mergeCell ref="B471:D471"/>
    <mergeCell ref="B470:D470"/>
    <mergeCell ref="B637:D637"/>
    <mergeCell ref="B552:D552"/>
    <mergeCell ref="B553:D553"/>
    <mergeCell ref="B558:D558"/>
    <mergeCell ref="B564:D564"/>
    <mergeCell ref="B566:D566"/>
    <mergeCell ref="B565:D565"/>
    <mergeCell ref="B567:D567"/>
    <mergeCell ref="B568:D568"/>
    <mergeCell ref="B569:D569"/>
    <mergeCell ref="B570:D570"/>
    <mergeCell ref="B476:D476"/>
    <mergeCell ref="B477:D477"/>
    <mergeCell ref="B478:D478"/>
    <mergeCell ref="B479:D479"/>
    <mergeCell ref="B488:D488"/>
    <mergeCell ref="B489:D489"/>
    <mergeCell ref="B490:D490"/>
    <mergeCell ref="B491:D491"/>
    <mergeCell ref="B480:D480"/>
    <mergeCell ref="B406:D406"/>
    <mergeCell ref="B407:D407"/>
    <mergeCell ref="B408:D408"/>
    <mergeCell ref="B413:D413"/>
    <mergeCell ref="B430:D430"/>
    <mergeCell ref="B435:D435"/>
    <mergeCell ref="B573:D573"/>
    <mergeCell ref="B574:D574"/>
    <mergeCell ref="B575:D575"/>
    <mergeCell ref="B436:D436"/>
    <mergeCell ref="B409:D409"/>
    <mergeCell ref="B410:D410"/>
    <mergeCell ref="B411:D411"/>
    <mergeCell ref="B412:D412"/>
    <mergeCell ref="B414:D414"/>
    <mergeCell ref="B415:D415"/>
    <mergeCell ref="B416:D416"/>
    <mergeCell ref="B417:D417"/>
    <mergeCell ref="B418:D418"/>
    <mergeCell ref="B419:D419"/>
    <mergeCell ref="B420:D420"/>
    <mergeCell ref="B443:D443"/>
    <mergeCell ref="B442:D442"/>
    <mergeCell ref="B445:D445"/>
    <mergeCell ref="B421:D421"/>
    <mergeCell ref="B422:D422"/>
    <mergeCell ref="B423:D423"/>
    <mergeCell ref="B424:D424"/>
    <mergeCell ref="B425:D425"/>
    <mergeCell ref="B426:D426"/>
    <mergeCell ref="B427:D427"/>
    <mergeCell ref="B428:D428"/>
    <mergeCell ref="B429:D429"/>
    <mergeCell ref="B431:D431"/>
    <mergeCell ref="B432:D432"/>
    <mergeCell ref="B433:D433"/>
    <mergeCell ref="B434:D434"/>
    <mergeCell ref="B582:D582"/>
    <mergeCell ref="B583:D583"/>
    <mergeCell ref="B584:D584"/>
    <mergeCell ref="B585:D585"/>
    <mergeCell ref="B586:D586"/>
    <mergeCell ref="B576:D576"/>
    <mergeCell ref="B577:D577"/>
    <mergeCell ref="B578:D578"/>
    <mergeCell ref="B579:D579"/>
    <mergeCell ref="B580:D580"/>
    <mergeCell ref="B446:D446"/>
    <mergeCell ref="B447:D447"/>
    <mergeCell ref="B448:D448"/>
    <mergeCell ref="B437:D437"/>
    <mergeCell ref="B438:D438"/>
    <mergeCell ref="B439:D439"/>
    <mergeCell ref="B440:D440"/>
    <mergeCell ref="B441:D441"/>
    <mergeCell ref="B455:D455"/>
    <mergeCell ref="B456:D456"/>
    <mergeCell ref="B587:D587"/>
    <mergeCell ref="B588:D588"/>
    <mergeCell ref="B655:D655"/>
    <mergeCell ref="B656:D656"/>
    <mergeCell ref="B657:D657"/>
    <mergeCell ref="B658:D658"/>
    <mergeCell ref="B659:D659"/>
    <mergeCell ref="B660:D660"/>
    <mergeCell ref="B661:D661"/>
    <mergeCell ref="B647:D647"/>
    <mergeCell ref="B648:D648"/>
    <mergeCell ref="B649:D649"/>
    <mergeCell ref="B650:D650"/>
    <mergeCell ref="B651:D651"/>
    <mergeCell ref="B652:D652"/>
    <mergeCell ref="B653:D653"/>
    <mergeCell ref="B654:D654"/>
    <mergeCell ref="B638:D638"/>
    <mergeCell ref="B639:D639"/>
    <mergeCell ref="B640:D640"/>
    <mergeCell ref="B641:D641"/>
    <mergeCell ref="B642:D642"/>
    <mergeCell ref="B643:D643"/>
    <mergeCell ref="B644:D644"/>
    <mergeCell ref="B671:D671"/>
    <mergeCell ref="B672:D672"/>
    <mergeCell ref="B673:D673"/>
    <mergeCell ref="B674:D674"/>
    <mergeCell ref="B675:D675"/>
    <mergeCell ref="B676:D676"/>
    <mergeCell ref="B677:D677"/>
    <mergeCell ref="B678:D678"/>
    <mergeCell ref="B662:D662"/>
    <mergeCell ref="B663:D663"/>
    <mergeCell ref="B664:D664"/>
    <mergeCell ref="B665:D665"/>
    <mergeCell ref="B666:D666"/>
    <mergeCell ref="B667:D667"/>
    <mergeCell ref="B668:D668"/>
    <mergeCell ref="B669:D669"/>
    <mergeCell ref="B670:D67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9"/>
  <sheetViews>
    <sheetView workbookViewId="0">
      <selection activeCell="I8" sqref="I8"/>
    </sheetView>
  </sheetViews>
  <sheetFormatPr baseColWidth="10" defaultRowHeight="15" x14ac:dyDescent="0.25"/>
  <cols>
    <col min="1" max="1" width="17.7109375" customWidth="1"/>
    <col min="4" max="4" width="39.7109375" customWidth="1"/>
    <col min="6" max="6" width="19.42578125" bestFit="1" customWidth="1"/>
    <col min="7" max="7" width="8.42578125" bestFit="1" customWidth="1"/>
    <col min="8" max="8" width="9.5703125" bestFit="1" customWidth="1"/>
    <col min="9" max="9" width="12" bestFit="1" customWidth="1"/>
    <col min="10" max="10" width="15.5703125" bestFit="1" customWidth="1"/>
    <col min="11" max="12" width="8.42578125" bestFit="1" customWidth="1"/>
    <col min="13" max="13" width="9.5703125" bestFit="1" customWidth="1"/>
  </cols>
  <sheetData>
    <row r="1" spans="1:13" x14ac:dyDescent="0.25">
      <c r="A1" s="24"/>
      <c r="B1" s="24"/>
      <c r="C1" s="24"/>
      <c r="D1" s="24"/>
      <c r="E1" s="24"/>
      <c r="F1" s="24"/>
      <c r="G1" s="24"/>
      <c r="H1" s="24"/>
      <c r="I1" s="8"/>
      <c r="J1" s="24"/>
      <c r="K1" s="24"/>
      <c r="L1" s="24"/>
      <c r="M1" s="24"/>
    </row>
    <row r="2" spans="1:13" x14ac:dyDescent="0.25">
      <c r="A2" s="24"/>
      <c r="B2" s="24"/>
      <c r="C2" s="24"/>
      <c r="D2" s="24"/>
      <c r="E2" s="24"/>
      <c r="F2" s="24"/>
      <c r="G2" s="1"/>
      <c r="H2" s="24"/>
      <c r="I2" s="8"/>
      <c r="J2" s="24"/>
      <c r="K2" s="24"/>
      <c r="L2" s="24"/>
      <c r="M2" s="24"/>
    </row>
    <row r="3" spans="1:13" x14ac:dyDescent="0.25">
      <c r="A3" s="24"/>
      <c r="B3" s="24"/>
      <c r="C3" s="24"/>
      <c r="D3" s="24"/>
      <c r="E3" s="24"/>
      <c r="F3" s="24"/>
      <c r="G3" s="24"/>
      <c r="H3" s="24"/>
      <c r="I3" s="8"/>
      <c r="J3" s="24"/>
      <c r="K3" s="24"/>
      <c r="L3" s="24"/>
      <c r="M3" s="24"/>
    </row>
    <row r="4" spans="1:13" x14ac:dyDescent="0.25">
      <c r="A4" s="24"/>
      <c r="B4" s="24"/>
      <c r="C4" s="24"/>
      <c r="D4" s="24"/>
      <c r="E4" s="37" t="s">
        <v>2</v>
      </c>
      <c r="F4" s="37"/>
      <c r="G4" s="37"/>
      <c r="H4" s="37"/>
      <c r="I4" s="37"/>
      <c r="J4" s="24"/>
      <c r="K4" s="34" t="s">
        <v>1</v>
      </c>
      <c r="L4" s="34"/>
      <c r="M4" s="34"/>
    </row>
    <row r="5" spans="1:13" x14ac:dyDescent="0.25">
      <c r="A5" s="24"/>
      <c r="B5" s="35" t="s">
        <v>0</v>
      </c>
      <c r="C5" s="35"/>
      <c r="D5" s="35"/>
      <c r="E5" s="24" t="s">
        <v>3</v>
      </c>
      <c r="F5" s="24" t="s">
        <v>391</v>
      </c>
      <c r="G5" s="24" t="s">
        <v>4</v>
      </c>
      <c r="H5" s="24" t="s">
        <v>5</v>
      </c>
      <c r="I5" s="7" t="s">
        <v>37</v>
      </c>
      <c r="J5" s="24" t="s">
        <v>528</v>
      </c>
      <c r="K5" s="24" t="s">
        <v>3</v>
      </c>
      <c r="L5" s="24" t="s">
        <v>4</v>
      </c>
      <c r="M5" s="24" t="s">
        <v>5</v>
      </c>
    </row>
    <row r="6" spans="1:13" x14ac:dyDescent="0.25">
      <c r="A6" s="24"/>
      <c r="B6" s="36" t="s">
        <v>524</v>
      </c>
      <c r="C6" s="36"/>
      <c r="D6" s="36"/>
      <c r="E6" s="24"/>
      <c r="F6" s="24"/>
      <c r="G6" s="1"/>
      <c r="H6" s="1"/>
      <c r="I6" s="7"/>
      <c r="J6" s="24"/>
      <c r="K6" s="1"/>
      <c r="L6" s="1"/>
      <c r="M6" s="1"/>
    </row>
    <row r="7" spans="1:13" x14ac:dyDescent="0.25">
      <c r="A7" s="24" t="s">
        <v>890</v>
      </c>
      <c r="B7" s="25" t="s">
        <v>891</v>
      </c>
      <c r="C7" s="25"/>
      <c r="D7" s="25"/>
      <c r="E7" s="24">
        <v>0.9</v>
      </c>
      <c r="F7" s="24"/>
      <c r="G7" s="1">
        <f>((Fórmulas!C$7/Fórmulas!D$7)/Fórmulas!E$7)*E7</f>
        <v>2.5714285714285716</v>
      </c>
      <c r="H7" s="1">
        <f>G7*Fórmulas!B$9</f>
        <v>900.00000000000011</v>
      </c>
      <c r="I7" s="7">
        <f>E7/Fórmulas!E$7</f>
        <v>1.5</v>
      </c>
      <c r="J7" s="17">
        <f>G7*Fórmulas!B$10</f>
        <v>1542.8571428571429</v>
      </c>
      <c r="K7" s="1">
        <v>1</v>
      </c>
      <c r="L7" s="1">
        <f>((Fórmulas!C$6/Fórmulas!D$6)/0.7)*K7</f>
        <v>2.4489795918367347</v>
      </c>
      <c r="M7" s="1">
        <f>L7*Fórmulas!D$6</f>
        <v>857.14285714285711</v>
      </c>
    </row>
    <row r="8" spans="1:13" x14ac:dyDescent="0.25">
      <c r="A8" s="24" t="s">
        <v>890</v>
      </c>
      <c r="B8" s="25" t="s">
        <v>892</v>
      </c>
      <c r="C8" s="25"/>
      <c r="D8" s="25"/>
      <c r="E8" s="24">
        <v>0.3</v>
      </c>
      <c r="F8" s="24"/>
      <c r="G8" s="1">
        <f>((Fórmulas!C$7/Fórmulas!D$7)/Fórmulas!E$7)*E8</f>
        <v>0.8571428571428571</v>
      </c>
      <c r="H8" s="1">
        <f>G8*Fórmulas!B$9</f>
        <v>300</v>
      </c>
      <c r="I8" s="7">
        <f>E8/Fórmulas!E$7</f>
        <v>0.5</v>
      </c>
      <c r="J8" s="17">
        <f>G8*Fórmulas!B$10</f>
        <v>514.28571428571422</v>
      </c>
      <c r="K8" s="1">
        <v>1</v>
      </c>
      <c r="L8" s="1">
        <f>((Fórmulas!C$6/Fórmulas!D$6)/0.7)*K8</f>
        <v>2.4489795918367347</v>
      </c>
      <c r="M8" s="1">
        <f>L8*Fórmulas!D$6</f>
        <v>857.14285714285711</v>
      </c>
    </row>
    <row r="9" spans="1:13" x14ac:dyDescent="0.25">
      <c r="A9" s="24" t="s">
        <v>890</v>
      </c>
      <c r="B9" s="25" t="s">
        <v>893</v>
      </c>
      <c r="C9" s="25"/>
      <c r="D9" s="25"/>
      <c r="E9" s="24">
        <v>0.3</v>
      </c>
      <c r="F9" s="24"/>
      <c r="G9" s="1">
        <f>((Fórmulas!C$7/Fórmulas!D$7)/Fórmulas!E$7)*E9</f>
        <v>0.8571428571428571</v>
      </c>
      <c r="H9" s="1">
        <f>G9*Fórmulas!B$9</f>
        <v>300</v>
      </c>
      <c r="I9" s="7">
        <f>E9/Fórmulas!E$7</f>
        <v>0.5</v>
      </c>
      <c r="J9" s="17">
        <f>G9*Fórmulas!B$10</f>
        <v>514.28571428571422</v>
      </c>
      <c r="K9" s="1">
        <v>1</v>
      </c>
      <c r="L9" s="1">
        <f>((Fórmulas!C$6/Fórmulas!D$6)/0.7)*K9</f>
        <v>2.4489795918367347</v>
      </c>
      <c r="M9" s="1">
        <f>L9*Fórmulas!D$6</f>
        <v>857.14285714285711</v>
      </c>
    </row>
    <row r="10" spans="1:13" x14ac:dyDescent="0.25">
      <c r="A10" s="24"/>
      <c r="B10" s="25"/>
      <c r="C10" s="25"/>
      <c r="D10" s="25"/>
      <c r="E10" s="24"/>
      <c r="F10" s="24"/>
      <c r="G10" s="1">
        <f>((Fórmulas!C$7/Fórmulas!D$7)/Fórmulas!E$7)*E10</f>
        <v>0</v>
      </c>
      <c r="H10" s="1">
        <f>G10*Fórmulas!B$9</f>
        <v>0</v>
      </c>
      <c r="I10" s="7">
        <f>E10/Fórmulas!E$7</f>
        <v>0</v>
      </c>
      <c r="J10" s="17">
        <f>G10*Fórmulas!B$10</f>
        <v>0</v>
      </c>
      <c r="K10" s="1">
        <v>1</v>
      </c>
      <c r="L10" s="1">
        <f>((Fórmulas!C$6/Fórmulas!D$6)/0.7)*K10</f>
        <v>2.4489795918367347</v>
      </c>
      <c r="M10" s="1">
        <f>L10*Fórmulas!D$6</f>
        <v>857.14285714285711</v>
      </c>
    </row>
    <row r="11" spans="1:13" x14ac:dyDescent="0.25">
      <c r="A11" s="24"/>
      <c r="B11" s="25"/>
      <c r="C11" s="25"/>
      <c r="D11" s="25"/>
      <c r="E11" s="24"/>
      <c r="F11" s="24"/>
      <c r="G11" s="1">
        <f>((Fórmulas!C$7/Fórmulas!D$7)/Fórmulas!E$7)*E11</f>
        <v>0</v>
      </c>
      <c r="H11" s="1">
        <f>G11*Fórmulas!B$9</f>
        <v>0</v>
      </c>
      <c r="I11" s="7">
        <f>E11/Fórmulas!E$7</f>
        <v>0</v>
      </c>
      <c r="J11" s="17">
        <f>G11*Fórmulas!B$10</f>
        <v>0</v>
      </c>
      <c r="K11" s="1">
        <v>1</v>
      </c>
      <c r="L11" s="1">
        <f>((Fórmulas!C$6/Fórmulas!D$6)/0.7)*K11</f>
        <v>2.4489795918367347</v>
      </c>
      <c r="M11" s="1">
        <f>L11*Fórmulas!D$6</f>
        <v>857.14285714285711</v>
      </c>
    </row>
    <row r="12" spans="1:13" x14ac:dyDescent="0.25">
      <c r="A12" s="24"/>
      <c r="B12" s="25"/>
      <c r="C12" s="25"/>
      <c r="D12" s="25"/>
      <c r="E12" s="24"/>
      <c r="F12" s="24"/>
      <c r="G12" s="1">
        <f>((Fórmulas!C$7/Fórmulas!D$7)/Fórmulas!E$7)*E12</f>
        <v>0</v>
      </c>
      <c r="H12" s="1">
        <f>G12*Fórmulas!B$9</f>
        <v>0</v>
      </c>
      <c r="I12" s="7">
        <f>E12/Fórmulas!E$7</f>
        <v>0</v>
      </c>
      <c r="J12" s="17">
        <f>G12*Fórmulas!B$10</f>
        <v>0</v>
      </c>
      <c r="K12" s="1">
        <v>1</v>
      </c>
      <c r="L12" s="1">
        <f>((Fórmulas!C$6/Fórmulas!D$6)/0.7)*K12</f>
        <v>2.4489795918367347</v>
      </c>
      <c r="M12" s="1">
        <f>L12*Fórmulas!D$6</f>
        <v>857.14285714285711</v>
      </c>
    </row>
    <row r="13" spans="1:13" x14ac:dyDescent="0.25">
      <c r="A13" s="24"/>
      <c r="B13" s="25"/>
      <c r="C13" s="25"/>
      <c r="D13" s="25"/>
      <c r="E13" s="24"/>
      <c r="F13" s="24"/>
      <c r="G13" s="1">
        <f>((Fórmulas!C$7/Fórmulas!D$7)/Fórmulas!E$7)*E13</f>
        <v>0</v>
      </c>
      <c r="H13" s="1">
        <f>G13*Fórmulas!B$9</f>
        <v>0</v>
      </c>
      <c r="I13" s="7">
        <f>E13/Fórmulas!E$7</f>
        <v>0</v>
      </c>
      <c r="J13" s="17">
        <f>G13*Fórmulas!B$10</f>
        <v>0</v>
      </c>
      <c r="K13" s="1">
        <v>1</v>
      </c>
      <c r="L13" s="1">
        <f>((Fórmulas!C$6/Fórmulas!D$6)/0.7)*K13</f>
        <v>2.4489795918367347</v>
      </c>
      <c r="M13" s="1">
        <f>L13*Fórmulas!D$6</f>
        <v>857.14285714285711</v>
      </c>
    </row>
    <row r="14" spans="1:13" x14ac:dyDescent="0.25">
      <c r="A14" s="24"/>
      <c r="B14" s="25"/>
      <c r="C14" s="25"/>
      <c r="D14" s="25"/>
      <c r="E14" s="24"/>
      <c r="F14" s="24"/>
      <c r="G14" s="1">
        <f>((Fórmulas!C$7/Fórmulas!D$7)/Fórmulas!E$7)*E14</f>
        <v>0</v>
      </c>
      <c r="H14" s="1">
        <f>G14*Fórmulas!B$9</f>
        <v>0</v>
      </c>
      <c r="I14" s="7">
        <f>E14/Fórmulas!E$7</f>
        <v>0</v>
      </c>
      <c r="J14" s="17">
        <f>G14*Fórmulas!B$10</f>
        <v>0</v>
      </c>
      <c r="K14" s="1">
        <v>1</v>
      </c>
      <c r="L14" s="1">
        <f>((Fórmulas!C$6/Fórmulas!D$6)/0.7)*K14</f>
        <v>2.4489795918367347</v>
      </c>
      <c r="M14" s="1">
        <f>L14*Fórmulas!D$6</f>
        <v>857.14285714285711</v>
      </c>
    </row>
    <row r="15" spans="1:13" x14ac:dyDescent="0.25">
      <c r="A15" s="24"/>
      <c r="B15" s="25"/>
      <c r="C15" s="25"/>
      <c r="D15" s="25"/>
      <c r="E15" s="24"/>
      <c r="F15" s="24"/>
      <c r="G15" s="1">
        <f>((Fórmulas!C$7/Fórmulas!D$7)/Fórmulas!E$7)*E15</f>
        <v>0</v>
      </c>
      <c r="H15" s="1">
        <f>G15*Fórmulas!B$9</f>
        <v>0</v>
      </c>
      <c r="I15" s="7">
        <f>E15/Fórmulas!E$7</f>
        <v>0</v>
      </c>
      <c r="J15" s="17">
        <f>G15*Fórmulas!B$10</f>
        <v>0</v>
      </c>
      <c r="K15" s="1">
        <v>1</v>
      </c>
      <c r="L15" s="1">
        <f>((Fórmulas!C$6/Fórmulas!D$6)/0.7)*K15</f>
        <v>2.4489795918367347</v>
      </c>
      <c r="M15" s="1">
        <f>L15*Fórmulas!D$6</f>
        <v>857.14285714285711</v>
      </c>
    </row>
    <row r="16" spans="1:13" x14ac:dyDescent="0.25">
      <c r="A16" s="24"/>
      <c r="B16" s="25"/>
      <c r="C16" s="25"/>
      <c r="D16" s="25"/>
      <c r="E16" s="24"/>
      <c r="F16" s="24"/>
      <c r="G16" s="1">
        <f>((Fórmulas!C$7/Fórmulas!D$7)/Fórmulas!E$7)*E16</f>
        <v>0</v>
      </c>
      <c r="H16" s="1">
        <f>G16*Fórmulas!B$9</f>
        <v>0</v>
      </c>
      <c r="I16" s="7">
        <f>E16/Fórmulas!E$7</f>
        <v>0</v>
      </c>
      <c r="J16" s="17">
        <f>G16*Fórmulas!B$10</f>
        <v>0</v>
      </c>
      <c r="K16" s="1">
        <v>1</v>
      </c>
      <c r="L16" s="1">
        <f>((Fórmulas!C$6/Fórmulas!D$6)/0.7)*K16</f>
        <v>2.4489795918367347</v>
      </c>
      <c r="M16" s="1">
        <f>L16*Fórmulas!D$6</f>
        <v>857.14285714285711</v>
      </c>
    </row>
    <row r="17" spans="1:13" x14ac:dyDescent="0.25">
      <c r="A17" s="24"/>
      <c r="B17" s="25"/>
      <c r="C17" s="25"/>
      <c r="D17" s="25"/>
      <c r="E17" s="24"/>
      <c r="F17" s="24"/>
      <c r="G17" s="1">
        <f>((Fórmulas!C$7/Fórmulas!D$7)/Fórmulas!E$7)*E17</f>
        <v>0</v>
      </c>
      <c r="H17" s="1">
        <f>G17*Fórmulas!B$9</f>
        <v>0</v>
      </c>
      <c r="I17" s="7">
        <f>E17/Fórmulas!E$7</f>
        <v>0</v>
      </c>
      <c r="J17" s="17">
        <f>G17*Fórmulas!B$10</f>
        <v>0</v>
      </c>
      <c r="K17" s="1">
        <v>1</v>
      </c>
      <c r="L17" s="1">
        <f>((Fórmulas!C$6/Fórmulas!D$6)/0.7)*K17</f>
        <v>2.4489795918367347</v>
      </c>
      <c r="M17" s="1">
        <f>L17*Fórmulas!D$6</f>
        <v>857.14285714285711</v>
      </c>
    </row>
    <row r="18" spans="1:13" x14ac:dyDescent="0.25">
      <c r="A18" s="24"/>
      <c r="B18" s="25"/>
      <c r="C18" s="25"/>
      <c r="D18" s="25"/>
      <c r="E18" s="24"/>
      <c r="F18" s="24"/>
      <c r="G18" s="1">
        <f>((Fórmulas!C$7/Fórmulas!D$7)/Fórmulas!E$7)*E18</f>
        <v>0</v>
      </c>
      <c r="H18" s="1">
        <f>G18*Fórmulas!B$9</f>
        <v>0</v>
      </c>
      <c r="I18" s="7">
        <f>E18/Fórmulas!E$7</f>
        <v>0</v>
      </c>
      <c r="J18" s="17">
        <f>G18*Fórmulas!B$10</f>
        <v>0</v>
      </c>
      <c r="K18" s="1">
        <v>1</v>
      </c>
      <c r="L18" s="1">
        <f>((Fórmulas!C$6/Fórmulas!D$6)/0.7)*K18</f>
        <v>2.4489795918367347</v>
      </c>
      <c r="M18" s="1">
        <f>L18*Fórmulas!D$6</f>
        <v>857.14285714285711</v>
      </c>
    </row>
    <row r="19" spans="1:13" x14ac:dyDescent="0.25">
      <c r="A19" s="24"/>
      <c r="B19" s="25"/>
      <c r="C19" s="25"/>
      <c r="D19" s="25"/>
      <c r="E19" s="24"/>
      <c r="F19" s="24"/>
      <c r="G19" s="1">
        <f>((Fórmulas!C$7/Fórmulas!D$7)/Fórmulas!E$7)*E19</f>
        <v>0</v>
      </c>
      <c r="H19" s="1">
        <f>G19*Fórmulas!B$9</f>
        <v>0</v>
      </c>
      <c r="I19" s="7">
        <f>E19/Fórmulas!E$7</f>
        <v>0</v>
      </c>
      <c r="J19" s="17">
        <f>G19*Fórmulas!B$10</f>
        <v>0</v>
      </c>
      <c r="K19" s="1">
        <v>1</v>
      </c>
      <c r="L19" s="1">
        <f>((Fórmulas!C$6/Fórmulas!D$6)/0.7)*K19</f>
        <v>2.4489795918367347</v>
      </c>
      <c r="M19" s="1">
        <f>L19*Fórmulas!D$6</f>
        <v>857.14285714285711</v>
      </c>
    </row>
    <row r="20" spans="1:13" x14ac:dyDescent="0.25">
      <c r="A20" s="24"/>
      <c r="B20" s="25"/>
      <c r="C20" s="25"/>
      <c r="D20" s="25"/>
      <c r="E20" s="24"/>
      <c r="F20" s="24"/>
      <c r="G20" s="1">
        <f>((Fórmulas!C$7/Fórmulas!D$7)/Fórmulas!E$7)*E20</f>
        <v>0</v>
      </c>
      <c r="H20" s="1">
        <f>G20*Fórmulas!B$9</f>
        <v>0</v>
      </c>
      <c r="I20" s="7">
        <f>E20/Fórmulas!E$7</f>
        <v>0</v>
      </c>
      <c r="J20" s="17">
        <f>G20*Fórmulas!B$10</f>
        <v>0</v>
      </c>
      <c r="K20" s="1">
        <v>1</v>
      </c>
      <c r="L20" s="1">
        <f>((Fórmulas!C$6/Fórmulas!D$6)/0.7)*K20</f>
        <v>2.4489795918367347</v>
      </c>
      <c r="M20" s="1">
        <f>L20*Fórmulas!D$6</f>
        <v>857.14285714285711</v>
      </c>
    </row>
    <row r="21" spans="1:13" x14ac:dyDescent="0.25">
      <c r="A21" s="24"/>
      <c r="B21" s="25"/>
      <c r="C21" s="25"/>
      <c r="D21" s="25"/>
      <c r="E21" s="24"/>
      <c r="F21" s="24"/>
      <c r="G21" s="1">
        <f>((Fórmulas!C$7/Fórmulas!D$7)/Fórmulas!E$7)*E21</f>
        <v>0</v>
      </c>
      <c r="H21" s="1">
        <f>G21*Fórmulas!B$9</f>
        <v>0</v>
      </c>
      <c r="I21" s="7">
        <f>E21/Fórmulas!E$7</f>
        <v>0</v>
      </c>
      <c r="J21" s="17">
        <f>G21*Fórmulas!B$10</f>
        <v>0</v>
      </c>
      <c r="K21" s="1">
        <v>1</v>
      </c>
      <c r="L21" s="1">
        <f>((Fórmulas!C$6/Fórmulas!D$6)/0.7)*K21</f>
        <v>2.4489795918367347</v>
      </c>
      <c r="M21" s="1">
        <f>L21*Fórmulas!D$6</f>
        <v>857.14285714285711</v>
      </c>
    </row>
    <row r="22" spans="1:13" x14ac:dyDescent="0.25">
      <c r="A22" s="24"/>
      <c r="B22" s="25"/>
      <c r="C22" s="25"/>
      <c r="D22" s="25"/>
      <c r="E22" s="24"/>
      <c r="F22" s="24"/>
      <c r="G22" s="1">
        <f>((Fórmulas!C$7/Fórmulas!D$7)/Fórmulas!E$7)*E22</f>
        <v>0</v>
      </c>
      <c r="H22" s="1">
        <f>G22*Fórmulas!B$9</f>
        <v>0</v>
      </c>
      <c r="I22" s="7">
        <f>E22/Fórmulas!E$7</f>
        <v>0</v>
      </c>
      <c r="J22" s="17">
        <f>G22*Fórmulas!B$10</f>
        <v>0</v>
      </c>
      <c r="K22" s="1">
        <v>1</v>
      </c>
      <c r="L22" s="1">
        <f>((Fórmulas!C$6/Fórmulas!D$6)/0.7)*K22</f>
        <v>2.4489795918367347</v>
      </c>
      <c r="M22" s="1">
        <f>L22*Fórmulas!D$6</f>
        <v>857.14285714285711</v>
      </c>
    </row>
    <row r="23" spans="1:13" x14ac:dyDescent="0.25">
      <c r="A23" s="24"/>
      <c r="B23" s="25"/>
      <c r="C23" s="25"/>
      <c r="D23" s="25"/>
      <c r="E23" s="24"/>
      <c r="F23" s="24"/>
      <c r="G23" s="1">
        <f>((Fórmulas!C$7/Fórmulas!D$7)/Fórmulas!E$7)*E23</f>
        <v>0</v>
      </c>
      <c r="H23" s="1">
        <f>G23*Fórmulas!B$9</f>
        <v>0</v>
      </c>
      <c r="I23" s="7">
        <f>E23/Fórmulas!E$7</f>
        <v>0</v>
      </c>
      <c r="J23" s="17">
        <f>G23*Fórmulas!B$10</f>
        <v>0</v>
      </c>
      <c r="K23" s="1">
        <v>1</v>
      </c>
      <c r="L23" s="1">
        <f>((Fórmulas!C$6/Fórmulas!D$6)/0.7)*K23</f>
        <v>2.4489795918367347</v>
      </c>
      <c r="M23" s="1">
        <f>L23*Fórmulas!D$6</f>
        <v>857.14285714285711</v>
      </c>
    </row>
    <row r="24" spans="1:13" x14ac:dyDescent="0.25">
      <c r="A24" s="24"/>
      <c r="B24" s="25"/>
      <c r="C24" s="25"/>
      <c r="D24" s="25"/>
      <c r="E24" s="24"/>
      <c r="F24" s="24"/>
      <c r="G24" s="1">
        <f>((Fórmulas!C$7/Fórmulas!D$7)/Fórmulas!E$7)*E24</f>
        <v>0</v>
      </c>
      <c r="H24" s="1">
        <f>G24*Fórmulas!B$9</f>
        <v>0</v>
      </c>
      <c r="I24" s="7">
        <f>E24/Fórmulas!E$7</f>
        <v>0</v>
      </c>
      <c r="J24" s="17">
        <f>G24*Fórmulas!B$10</f>
        <v>0</v>
      </c>
      <c r="K24" s="1">
        <v>1</v>
      </c>
      <c r="L24" s="1">
        <f>((Fórmulas!C$6/Fórmulas!D$6)/0.7)*K24</f>
        <v>2.4489795918367347</v>
      </c>
      <c r="M24" s="1">
        <f>L24*Fórmulas!D$6</f>
        <v>857.14285714285711</v>
      </c>
    </row>
    <row r="25" spans="1:13" x14ac:dyDescent="0.25">
      <c r="A25" s="24"/>
      <c r="B25" s="25"/>
      <c r="C25" s="25"/>
      <c r="D25" s="25"/>
      <c r="E25" s="24"/>
      <c r="F25" s="24"/>
      <c r="G25" s="1">
        <f>((Fórmulas!C$7/Fórmulas!D$7)/Fórmulas!E$7)*E25</f>
        <v>0</v>
      </c>
      <c r="H25" s="1">
        <f>G25*Fórmulas!B$9</f>
        <v>0</v>
      </c>
      <c r="I25" s="7">
        <f>E25/Fórmulas!E$7</f>
        <v>0</v>
      </c>
      <c r="J25" s="17">
        <f>G25*Fórmulas!B$10</f>
        <v>0</v>
      </c>
      <c r="K25" s="1">
        <v>1</v>
      </c>
      <c r="L25" s="1">
        <f>((Fórmulas!C$6/Fórmulas!D$6)/0.7)*K25</f>
        <v>2.4489795918367347</v>
      </c>
      <c r="M25" s="1">
        <f>L25*Fórmulas!D$6</f>
        <v>857.14285714285711</v>
      </c>
    </row>
    <row r="26" spans="1:13" x14ac:dyDescent="0.25">
      <c r="A26" s="24"/>
      <c r="B26" s="25"/>
      <c r="C26" s="25"/>
      <c r="D26" s="25"/>
      <c r="E26" s="24"/>
      <c r="F26" s="24"/>
      <c r="G26" s="1">
        <f>((Fórmulas!C$7/Fórmulas!D$7)/Fórmulas!E$7)*E26</f>
        <v>0</v>
      </c>
      <c r="H26" s="1">
        <f>G26*Fórmulas!B$9</f>
        <v>0</v>
      </c>
      <c r="I26" s="7">
        <f>E26/Fórmulas!E$7</f>
        <v>0</v>
      </c>
      <c r="J26" s="17">
        <f>G26*Fórmulas!B$10</f>
        <v>0</v>
      </c>
      <c r="K26" s="1">
        <v>1</v>
      </c>
      <c r="L26" s="1">
        <f>((Fórmulas!C$6/Fórmulas!D$6)/0.7)*K26</f>
        <v>2.4489795918367347</v>
      </c>
      <c r="M26" s="1">
        <f>L26*Fórmulas!D$6</f>
        <v>857.14285714285711</v>
      </c>
    </row>
    <row r="27" spans="1:13" x14ac:dyDescent="0.25">
      <c r="A27" s="24"/>
      <c r="B27" s="25"/>
      <c r="C27" s="25"/>
      <c r="D27" s="25"/>
      <c r="E27" s="24"/>
      <c r="F27" s="24"/>
      <c r="G27" s="1">
        <f>((Fórmulas!C$7/Fórmulas!D$7)/Fórmulas!E$7)*E27</f>
        <v>0</v>
      </c>
      <c r="H27" s="1">
        <f>G27*Fórmulas!B$9</f>
        <v>0</v>
      </c>
      <c r="I27" s="7">
        <f>E27/Fórmulas!E$7</f>
        <v>0</v>
      </c>
      <c r="J27" s="17">
        <f>G27*Fórmulas!B$10</f>
        <v>0</v>
      </c>
      <c r="K27" s="1">
        <v>1</v>
      </c>
      <c r="L27" s="1">
        <f>((Fórmulas!C$6/Fórmulas!D$6)/0.7)*K27</f>
        <v>2.4489795918367347</v>
      </c>
      <c r="M27" s="1">
        <f>L27*Fórmulas!D$6</f>
        <v>857.14285714285711</v>
      </c>
    </row>
    <row r="28" spans="1:13" x14ac:dyDescent="0.25">
      <c r="A28" s="24"/>
      <c r="B28" s="25"/>
      <c r="C28" s="25"/>
      <c r="D28" s="25"/>
      <c r="E28" s="24"/>
      <c r="F28" s="24"/>
      <c r="G28" s="1">
        <f>((Fórmulas!C$7/Fórmulas!D$7)/Fórmulas!E$7)*E28</f>
        <v>0</v>
      </c>
      <c r="H28" s="1">
        <f>G28*Fórmulas!B$9</f>
        <v>0</v>
      </c>
      <c r="I28" s="7">
        <f>E28/Fórmulas!E$7</f>
        <v>0</v>
      </c>
      <c r="J28" s="17">
        <f>G28*Fórmulas!B$10</f>
        <v>0</v>
      </c>
      <c r="K28" s="1">
        <v>1</v>
      </c>
      <c r="L28" s="1">
        <f>((Fórmulas!C$6/Fórmulas!D$6)/0.7)*K28</f>
        <v>2.4489795918367347</v>
      </c>
      <c r="M28" s="1">
        <f>L28*Fórmulas!D$6</f>
        <v>857.14285714285711</v>
      </c>
    </row>
    <row r="29" spans="1:13" x14ac:dyDescent="0.25">
      <c r="A29" s="24"/>
      <c r="B29" s="25"/>
      <c r="C29" s="25"/>
      <c r="D29" s="25"/>
      <c r="E29" s="24"/>
      <c r="F29" s="24"/>
      <c r="G29" s="1">
        <f>((Fórmulas!C$7/Fórmulas!D$7)/Fórmulas!E$7)*E29</f>
        <v>0</v>
      </c>
      <c r="H29" s="1">
        <f>G29*Fórmulas!B$9</f>
        <v>0</v>
      </c>
      <c r="I29" s="7">
        <f>E29/Fórmulas!E$7</f>
        <v>0</v>
      </c>
      <c r="J29" s="17">
        <f>G29*Fórmulas!B$10</f>
        <v>0</v>
      </c>
      <c r="K29" s="1">
        <v>1</v>
      </c>
      <c r="L29" s="1">
        <f>((Fórmulas!C$6/Fórmulas!D$6)/0.7)*K29</f>
        <v>2.4489795918367347</v>
      </c>
      <c r="M29" s="1">
        <f>L29*Fórmulas!D$6</f>
        <v>857.14285714285711</v>
      </c>
    </row>
    <row r="30" spans="1:13" x14ac:dyDescent="0.25">
      <c r="A30" s="24"/>
      <c r="B30" s="25"/>
      <c r="C30" s="25"/>
      <c r="D30" s="25"/>
      <c r="E30" s="24"/>
      <c r="F30" s="24"/>
      <c r="G30" s="1">
        <f>((Fórmulas!C$7/Fórmulas!D$7)/Fórmulas!E$7)*E30</f>
        <v>0</v>
      </c>
      <c r="H30" s="1">
        <f>G30*Fórmulas!B$9</f>
        <v>0</v>
      </c>
      <c r="I30" s="7">
        <f>E30/Fórmulas!E$7</f>
        <v>0</v>
      </c>
      <c r="J30" s="17">
        <f>G30*Fórmulas!B$10</f>
        <v>0</v>
      </c>
      <c r="K30" s="1">
        <v>1</v>
      </c>
      <c r="L30" s="1">
        <f>((Fórmulas!C$6/Fórmulas!D$6)/0.7)*K30</f>
        <v>2.4489795918367347</v>
      </c>
      <c r="M30" s="1">
        <f>L30*Fórmulas!D$6</f>
        <v>857.14285714285711</v>
      </c>
    </row>
    <row r="31" spans="1:13" x14ac:dyDescent="0.25">
      <c r="A31" s="24"/>
      <c r="B31" s="25"/>
      <c r="C31" s="25"/>
      <c r="D31" s="25"/>
      <c r="E31" s="24"/>
      <c r="F31" s="24"/>
      <c r="G31" s="1">
        <f>((Fórmulas!C$7/Fórmulas!D$7)/Fórmulas!E$7)*E31</f>
        <v>0</v>
      </c>
      <c r="H31" s="1">
        <f>G31*Fórmulas!B$9</f>
        <v>0</v>
      </c>
      <c r="I31" s="7">
        <f>E31/Fórmulas!E$7</f>
        <v>0</v>
      </c>
      <c r="J31" s="17">
        <f>G31*Fórmulas!B$10</f>
        <v>0</v>
      </c>
      <c r="K31" s="1">
        <v>1</v>
      </c>
      <c r="L31" s="1">
        <f>((Fórmulas!C$6/Fórmulas!D$6)/0.7)*K31</f>
        <v>2.4489795918367347</v>
      </c>
      <c r="M31" s="1">
        <f>L31*Fórmulas!D$6</f>
        <v>857.14285714285711</v>
      </c>
    </row>
    <row r="32" spans="1:13" x14ac:dyDescent="0.25">
      <c r="A32" s="24"/>
      <c r="B32" s="25"/>
      <c r="C32" s="25"/>
      <c r="D32" s="25"/>
      <c r="E32" s="24"/>
      <c r="F32" s="24"/>
      <c r="G32" s="1">
        <f>((Fórmulas!C$7/Fórmulas!D$7)/Fórmulas!E$7)*E32</f>
        <v>0</v>
      </c>
      <c r="H32" s="1">
        <f>G32*Fórmulas!B$9</f>
        <v>0</v>
      </c>
      <c r="I32" s="7">
        <f>E32/Fórmulas!E$7</f>
        <v>0</v>
      </c>
      <c r="J32" s="17">
        <f>G32*Fórmulas!B$10</f>
        <v>0</v>
      </c>
      <c r="K32" s="1">
        <v>1</v>
      </c>
      <c r="L32" s="1">
        <f>((Fórmulas!C$6/Fórmulas!D$6)/0.7)*K32</f>
        <v>2.4489795918367347</v>
      </c>
      <c r="M32" s="1">
        <f>L32*Fórmulas!D$6</f>
        <v>857.14285714285711</v>
      </c>
    </row>
    <row r="33" spans="1:13" x14ac:dyDescent="0.25">
      <c r="A33" s="24"/>
      <c r="B33" s="25"/>
      <c r="C33" s="25"/>
      <c r="D33" s="25"/>
      <c r="E33" s="24"/>
      <c r="F33" s="24"/>
      <c r="G33" s="1">
        <f>((Fórmulas!C$7/Fórmulas!D$7)/Fórmulas!E$7)*E33</f>
        <v>0</v>
      </c>
      <c r="H33" s="1">
        <f>G33*Fórmulas!B$9</f>
        <v>0</v>
      </c>
      <c r="I33" s="7">
        <f>E33/Fórmulas!E$7</f>
        <v>0</v>
      </c>
      <c r="J33" s="17">
        <f>G33*Fórmulas!B$10</f>
        <v>0</v>
      </c>
      <c r="K33" s="1">
        <v>1</v>
      </c>
      <c r="L33" s="1">
        <f>((Fórmulas!C$6/Fórmulas!D$6)/0.7)*K33</f>
        <v>2.4489795918367347</v>
      </c>
      <c r="M33" s="1">
        <f>L33*Fórmulas!D$6</f>
        <v>857.14285714285711</v>
      </c>
    </row>
    <row r="34" spans="1:13" x14ac:dyDescent="0.25">
      <c r="A34" s="24"/>
      <c r="B34" s="25"/>
      <c r="C34" s="25"/>
      <c r="D34" s="25"/>
      <c r="E34" s="24"/>
      <c r="F34" s="24"/>
      <c r="G34" s="1">
        <f>((Fórmulas!C$7/Fórmulas!D$7)/Fórmulas!E$7)*E34</f>
        <v>0</v>
      </c>
      <c r="H34" s="1">
        <f>G34*Fórmulas!B$9</f>
        <v>0</v>
      </c>
      <c r="I34" s="7">
        <f>E34/Fórmulas!E$7</f>
        <v>0</v>
      </c>
      <c r="J34" s="17">
        <f>G34*Fórmulas!B$10</f>
        <v>0</v>
      </c>
      <c r="K34" s="1">
        <v>1</v>
      </c>
      <c r="L34" s="1">
        <f>((Fórmulas!C$6/Fórmulas!D$6)/0.7)*K34</f>
        <v>2.4489795918367347</v>
      </c>
      <c r="M34" s="1">
        <f>L34*Fórmulas!D$6</f>
        <v>857.14285714285711</v>
      </c>
    </row>
    <row r="35" spans="1:13" x14ac:dyDescent="0.25">
      <c r="A35" s="24"/>
      <c r="B35" s="25"/>
      <c r="C35" s="25"/>
      <c r="D35" s="25"/>
      <c r="E35" s="24"/>
      <c r="F35" s="24"/>
      <c r="G35" s="1">
        <f>((Fórmulas!C$7/Fórmulas!D$7)/Fórmulas!E$7)*E35</f>
        <v>0</v>
      </c>
      <c r="H35" s="1">
        <f>G35*Fórmulas!B$9</f>
        <v>0</v>
      </c>
      <c r="I35" s="7">
        <f>E35/Fórmulas!E$7</f>
        <v>0</v>
      </c>
      <c r="J35" s="17">
        <f>G35*Fórmulas!B$10</f>
        <v>0</v>
      </c>
      <c r="K35" s="1">
        <v>1</v>
      </c>
      <c r="L35" s="1">
        <f>((Fórmulas!C$6/Fórmulas!D$6)/0.7)*K35</f>
        <v>2.4489795918367347</v>
      </c>
      <c r="M35" s="1">
        <f>L35*Fórmulas!D$6</f>
        <v>857.14285714285711</v>
      </c>
    </row>
    <row r="36" spans="1:13" x14ac:dyDescent="0.25">
      <c r="A36" s="24"/>
      <c r="B36" s="25"/>
      <c r="C36" s="25"/>
      <c r="D36" s="25"/>
      <c r="E36" s="24"/>
      <c r="F36" s="24"/>
      <c r="G36" s="1">
        <f>((Fórmulas!C$7/Fórmulas!D$7)/Fórmulas!E$7)*E36</f>
        <v>0</v>
      </c>
      <c r="H36" s="1">
        <f>G36*Fórmulas!B$9</f>
        <v>0</v>
      </c>
      <c r="I36" s="7">
        <f>E36/Fórmulas!E$7</f>
        <v>0</v>
      </c>
      <c r="J36" s="17">
        <f>G36*Fórmulas!B$10</f>
        <v>0</v>
      </c>
      <c r="K36" s="1">
        <v>1</v>
      </c>
      <c r="L36" s="1">
        <f>((Fórmulas!C$6/Fórmulas!D$6)/0.7)*K36</f>
        <v>2.4489795918367347</v>
      </c>
      <c r="M36" s="1">
        <f>L36*Fórmulas!D$6</f>
        <v>857.14285714285711</v>
      </c>
    </row>
    <row r="37" spans="1:13" x14ac:dyDescent="0.25">
      <c r="A37" s="24"/>
      <c r="B37" s="25"/>
      <c r="C37" s="25"/>
      <c r="D37" s="25"/>
      <c r="E37" s="24"/>
      <c r="F37" s="24"/>
      <c r="G37" s="1">
        <f>((Fórmulas!C$7/Fórmulas!D$7)/Fórmulas!E$7)*E37</f>
        <v>0</v>
      </c>
      <c r="H37" s="1">
        <f>G37*Fórmulas!B$9</f>
        <v>0</v>
      </c>
      <c r="I37" s="7">
        <f>E37/Fórmulas!E$7</f>
        <v>0</v>
      </c>
      <c r="J37" s="17">
        <f>G37*Fórmulas!B$10</f>
        <v>0</v>
      </c>
      <c r="K37" s="1">
        <v>1</v>
      </c>
      <c r="L37" s="1">
        <f>((Fórmulas!C$6/Fórmulas!D$6)/0.7)*K37</f>
        <v>2.4489795918367347</v>
      </c>
      <c r="M37" s="1">
        <f>L37*Fórmulas!D$6</f>
        <v>857.14285714285711</v>
      </c>
    </row>
    <row r="38" spans="1:13" x14ac:dyDescent="0.25">
      <c r="A38" s="24"/>
      <c r="B38" s="25"/>
      <c r="C38" s="25"/>
      <c r="D38" s="25"/>
      <c r="E38" s="24"/>
      <c r="F38" s="24"/>
      <c r="G38" s="1">
        <f>((Fórmulas!C$7/Fórmulas!D$7)/Fórmulas!E$7)*E38</f>
        <v>0</v>
      </c>
      <c r="H38" s="1">
        <f>G38*Fórmulas!B$9</f>
        <v>0</v>
      </c>
      <c r="I38" s="7">
        <f>E38/Fórmulas!E$7</f>
        <v>0</v>
      </c>
      <c r="J38" s="17">
        <f>G38*Fórmulas!B$10</f>
        <v>0</v>
      </c>
      <c r="K38" s="1">
        <v>1</v>
      </c>
      <c r="L38" s="1">
        <f>((Fórmulas!C$6/Fórmulas!D$6)/0.7)*K38</f>
        <v>2.4489795918367347</v>
      </c>
      <c r="M38" s="1">
        <f>L38*Fórmulas!D$6</f>
        <v>857.14285714285711</v>
      </c>
    </row>
    <row r="39" spans="1:13" x14ac:dyDescent="0.25">
      <c r="A39" s="24"/>
      <c r="B39" s="25"/>
      <c r="C39" s="25"/>
      <c r="D39" s="25"/>
      <c r="E39" s="24"/>
      <c r="F39" s="24"/>
      <c r="G39" s="1">
        <f>((Fórmulas!C$7/Fórmulas!D$7)/Fórmulas!E$7)*E39</f>
        <v>0</v>
      </c>
      <c r="H39" s="1">
        <f>G39*Fórmulas!B$9</f>
        <v>0</v>
      </c>
      <c r="I39" s="7">
        <f>E39/Fórmulas!E$7</f>
        <v>0</v>
      </c>
      <c r="J39" s="17">
        <f>G39*Fórmulas!B$10</f>
        <v>0</v>
      </c>
      <c r="K39" s="1">
        <v>1</v>
      </c>
      <c r="L39" s="1">
        <f>((Fórmulas!C$6/Fórmulas!D$6)/0.7)*K39</f>
        <v>2.4489795918367347</v>
      </c>
      <c r="M39" s="1">
        <f>L39*Fórmulas!D$6</f>
        <v>857.14285714285711</v>
      </c>
    </row>
    <row r="40" spans="1:13" x14ac:dyDescent="0.25">
      <c r="A40" s="24"/>
      <c r="B40" s="25"/>
      <c r="C40" s="25"/>
      <c r="D40" s="25"/>
      <c r="E40" s="24"/>
      <c r="F40" s="24"/>
      <c r="G40" s="1">
        <f>((Fórmulas!C$7/Fórmulas!D$7)/Fórmulas!E$7)*E40</f>
        <v>0</v>
      </c>
      <c r="H40" s="1">
        <f>G40*Fórmulas!B$9</f>
        <v>0</v>
      </c>
      <c r="I40" s="7">
        <f>E40/Fórmulas!E$7</f>
        <v>0</v>
      </c>
      <c r="J40" s="17">
        <f>G40*Fórmulas!B$10</f>
        <v>0</v>
      </c>
      <c r="K40" s="1">
        <v>1</v>
      </c>
      <c r="L40" s="1">
        <f>((Fórmulas!C$6/Fórmulas!D$6)/0.7)*K40</f>
        <v>2.4489795918367347</v>
      </c>
      <c r="M40" s="1">
        <f>L40*Fórmulas!D$6</f>
        <v>857.14285714285711</v>
      </c>
    </row>
    <row r="41" spans="1:13" x14ac:dyDescent="0.25">
      <c r="A41" s="24"/>
      <c r="B41" s="25"/>
      <c r="C41" s="25"/>
      <c r="D41" s="25"/>
      <c r="E41" s="24"/>
      <c r="F41" s="24"/>
      <c r="G41" s="1">
        <f>((Fórmulas!C$7/Fórmulas!D$7)/Fórmulas!E$7)*E41</f>
        <v>0</v>
      </c>
      <c r="H41" s="1">
        <f>G41*Fórmulas!B$9</f>
        <v>0</v>
      </c>
      <c r="I41" s="7">
        <f>E41/Fórmulas!E$7</f>
        <v>0</v>
      </c>
      <c r="J41" s="17">
        <f>G41*Fórmulas!B$10</f>
        <v>0</v>
      </c>
      <c r="K41" s="1">
        <v>1</v>
      </c>
      <c r="L41" s="1">
        <f>((Fórmulas!C$6/Fórmulas!D$6)/0.7)*K41</f>
        <v>2.4489795918367347</v>
      </c>
      <c r="M41" s="1">
        <f>L41*Fórmulas!D$6</f>
        <v>857.14285714285711</v>
      </c>
    </row>
    <row r="42" spans="1:13" x14ac:dyDescent="0.25">
      <c r="A42" s="24"/>
      <c r="B42" s="25"/>
      <c r="C42" s="25"/>
      <c r="D42" s="25"/>
      <c r="E42" s="24"/>
      <c r="F42" s="24"/>
      <c r="G42" s="1">
        <f>((Fórmulas!C$7/Fórmulas!D$7)/Fórmulas!E$7)*E42</f>
        <v>0</v>
      </c>
      <c r="H42" s="1">
        <f>G42*Fórmulas!B$9</f>
        <v>0</v>
      </c>
      <c r="I42" s="7">
        <f>E42/Fórmulas!E$7</f>
        <v>0</v>
      </c>
      <c r="J42" s="17">
        <f>G42*Fórmulas!B$10</f>
        <v>0</v>
      </c>
      <c r="K42" s="1">
        <v>1</v>
      </c>
      <c r="L42" s="1">
        <f>((Fórmulas!C$6/Fórmulas!D$6)/0.7)*K42</f>
        <v>2.4489795918367347</v>
      </c>
      <c r="M42" s="1">
        <f>L42*Fórmulas!D$6</f>
        <v>857.14285714285711</v>
      </c>
    </row>
    <row r="43" spans="1:13" x14ac:dyDescent="0.25">
      <c r="A43" s="24"/>
      <c r="B43" s="25"/>
      <c r="C43" s="25"/>
      <c r="D43" s="25"/>
      <c r="E43" s="24"/>
      <c r="F43" s="24"/>
      <c r="G43" s="1">
        <f>((Fórmulas!C$7/Fórmulas!D$7)/Fórmulas!E$7)*E43</f>
        <v>0</v>
      </c>
      <c r="H43" s="1">
        <f>G43*Fórmulas!B$9</f>
        <v>0</v>
      </c>
      <c r="I43" s="7">
        <f>E43/Fórmulas!E$7</f>
        <v>0</v>
      </c>
      <c r="J43" s="17">
        <f>G43*Fórmulas!B$10</f>
        <v>0</v>
      </c>
      <c r="K43" s="1">
        <v>1</v>
      </c>
      <c r="L43" s="1">
        <f>((Fórmulas!C$6/Fórmulas!D$6)/0.7)*K43</f>
        <v>2.4489795918367347</v>
      </c>
      <c r="M43" s="1">
        <f>L43*Fórmulas!D$6</f>
        <v>857.14285714285711</v>
      </c>
    </row>
    <row r="44" spans="1:13" x14ac:dyDescent="0.25">
      <c r="A44" s="24"/>
      <c r="B44" s="25"/>
      <c r="C44" s="25"/>
      <c r="D44" s="25"/>
      <c r="E44" s="24"/>
      <c r="F44" s="24"/>
      <c r="G44" s="1">
        <f>((Fórmulas!C$7/Fórmulas!D$7)/Fórmulas!E$7)*E44</f>
        <v>0</v>
      </c>
      <c r="H44" s="1">
        <f>G44*Fórmulas!B$9</f>
        <v>0</v>
      </c>
      <c r="I44" s="7">
        <f>E44/Fórmulas!E$7</f>
        <v>0</v>
      </c>
      <c r="J44" s="17">
        <f>G44*Fórmulas!B$10</f>
        <v>0</v>
      </c>
      <c r="K44" s="1">
        <v>1</v>
      </c>
      <c r="L44" s="1">
        <f>((Fórmulas!C$6/Fórmulas!D$6)/0.7)*K44</f>
        <v>2.4489795918367347</v>
      </c>
      <c r="M44" s="1">
        <f>L44*Fórmulas!D$6</f>
        <v>857.14285714285711</v>
      </c>
    </row>
    <row r="45" spans="1:13" x14ac:dyDescent="0.25">
      <c r="A45" s="24"/>
      <c r="B45" s="25"/>
      <c r="C45" s="25"/>
      <c r="D45" s="25"/>
      <c r="E45" s="24"/>
      <c r="F45" s="24"/>
      <c r="G45" s="1">
        <f>((Fórmulas!C$7/Fórmulas!D$7)/Fórmulas!E$7)*E45</f>
        <v>0</v>
      </c>
      <c r="H45" s="1">
        <f>G45*Fórmulas!B$9</f>
        <v>0</v>
      </c>
      <c r="I45" s="7">
        <f>E45/Fórmulas!E$7</f>
        <v>0</v>
      </c>
      <c r="J45" s="17">
        <f>G45*Fórmulas!B$10</f>
        <v>0</v>
      </c>
      <c r="K45" s="1">
        <v>1</v>
      </c>
      <c r="L45" s="1">
        <f>((Fórmulas!C$6/Fórmulas!D$6)/0.7)*K45</f>
        <v>2.4489795918367347</v>
      </c>
      <c r="M45" s="1">
        <f>L45*Fórmulas!D$6</f>
        <v>857.14285714285711</v>
      </c>
    </row>
    <row r="46" spans="1:13" x14ac:dyDescent="0.25">
      <c r="A46" s="24"/>
      <c r="B46" s="25"/>
      <c r="C46" s="25"/>
      <c r="D46" s="25"/>
      <c r="E46" s="24"/>
      <c r="F46" s="24"/>
      <c r="G46" s="1">
        <f>((Fórmulas!C$7/Fórmulas!D$7)/Fórmulas!E$7)*E46</f>
        <v>0</v>
      </c>
      <c r="H46" s="1">
        <f>G46*Fórmulas!B$9</f>
        <v>0</v>
      </c>
      <c r="I46" s="7">
        <f>E46/Fórmulas!E$7</f>
        <v>0</v>
      </c>
      <c r="J46" s="17">
        <f>G46*Fórmulas!B$10</f>
        <v>0</v>
      </c>
      <c r="K46" s="1">
        <v>1</v>
      </c>
      <c r="L46" s="1">
        <f>((Fórmulas!C$6/Fórmulas!D$6)/0.7)*K46</f>
        <v>2.4489795918367347</v>
      </c>
      <c r="M46" s="1">
        <f>L46*Fórmulas!D$6</f>
        <v>857.14285714285711</v>
      </c>
    </row>
    <row r="47" spans="1:13" x14ac:dyDescent="0.25">
      <c r="A47" s="24"/>
      <c r="B47" s="25"/>
      <c r="C47" s="25"/>
      <c r="D47" s="25"/>
      <c r="E47" s="24"/>
      <c r="F47" s="24"/>
      <c r="G47" s="1">
        <f>((Fórmulas!C$7/Fórmulas!D$7)/Fórmulas!E$7)*E47</f>
        <v>0</v>
      </c>
      <c r="H47" s="1">
        <f>G47*Fórmulas!B$9</f>
        <v>0</v>
      </c>
      <c r="I47" s="7">
        <f>E47/Fórmulas!E$7</f>
        <v>0</v>
      </c>
      <c r="J47" s="17">
        <f>G47*Fórmulas!B$10</f>
        <v>0</v>
      </c>
      <c r="K47" s="1">
        <v>1</v>
      </c>
      <c r="L47" s="1">
        <f>((Fórmulas!C$6/Fórmulas!D$6)/0.7)*K47</f>
        <v>2.4489795918367347</v>
      </c>
      <c r="M47" s="1">
        <f>L47*Fórmulas!D$6</f>
        <v>857.14285714285711</v>
      </c>
    </row>
    <row r="48" spans="1:13" x14ac:dyDescent="0.25">
      <c r="A48" s="24"/>
      <c r="B48" s="25"/>
      <c r="C48" s="25"/>
      <c r="D48" s="25"/>
      <c r="E48" s="24"/>
      <c r="F48" s="24"/>
      <c r="G48" s="1">
        <f>((Fórmulas!C$7/Fórmulas!D$7)/Fórmulas!E$7)*E48</f>
        <v>0</v>
      </c>
      <c r="H48" s="1">
        <f>G48*Fórmulas!B$9</f>
        <v>0</v>
      </c>
      <c r="I48" s="7">
        <f>E48/Fórmulas!E$7</f>
        <v>0</v>
      </c>
      <c r="J48" s="17">
        <f>G48*Fórmulas!B$10</f>
        <v>0</v>
      </c>
      <c r="K48" s="1">
        <v>1</v>
      </c>
      <c r="L48" s="1">
        <f>((Fórmulas!C$6/Fórmulas!D$6)/0.7)*K48</f>
        <v>2.4489795918367347</v>
      </c>
      <c r="M48" s="1">
        <f>L48*Fórmulas!D$6</f>
        <v>857.14285714285711</v>
      </c>
    </row>
    <row r="49" spans="1:13" x14ac:dyDescent="0.25">
      <c r="A49" s="24"/>
      <c r="B49" s="25"/>
      <c r="C49" s="25"/>
      <c r="D49" s="25"/>
      <c r="E49" s="24"/>
      <c r="F49" s="24"/>
      <c r="G49" s="1">
        <f>((Fórmulas!C$7/Fórmulas!D$7)/Fórmulas!E$7)*E49</f>
        <v>0</v>
      </c>
      <c r="H49" s="1">
        <f>G49*Fórmulas!B$9</f>
        <v>0</v>
      </c>
      <c r="I49" s="7">
        <f>E49/Fórmulas!E$7</f>
        <v>0</v>
      </c>
      <c r="J49" s="17">
        <f>G49*Fórmulas!B$10</f>
        <v>0</v>
      </c>
      <c r="K49" s="1">
        <v>1</v>
      </c>
      <c r="L49" s="1">
        <f>((Fórmulas!C$6/Fórmulas!D$6)/0.7)*K49</f>
        <v>2.4489795918367347</v>
      </c>
      <c r="M49" s="1">
        <f>L49*Fórmulas!D$6</f>
        <v>857.14285714285711</v>
      </c>
    </row>
    <row r="50" spans="1:13" x14ac:dyDescent="0.25">
      <c r="A50" s="24"/>
      <c r="B50" s="25"/>
      <c r="C50" s="25"/>
      <c r="D50" s="25"/>
      <c r="E50" s="24"/>
      <c r="F50" s="24"/>
      <c r="G50" s="1">
        <f>((Fórmulas!C$7/Fórmulas!D$7)/Fórmulas!E$7)*E50</f>
        <v>0</v>
      </c>
      <c r="H50" s="1">
        <f>G50*Fórmulas!B$9</f>
        <v>0</v>
      </c>
      <c r="I50" s="7">
        <f>E50/Fórmulas!E$7</f>
        <v>0</v>
      </c>
      <c r="J50" s="17">
        <f>G50*Fórmulas!B$10</f>
        <v>0</v>
      </c>
      <c r="K50" s="1">
        <v>1</v>
      </c>
      <c r="L50" s="1">
        <f>((Fórmulas!C$6/Fórmulas!D$6)/0.7)*K50</f>
        <v>2.4489795918367347</v>
      </c>
      <c r="M50" s="1">
        <f>L50*Fórmulas!D$6</f>
        <v>857.14285714285711</v>
      </c>
    </row>
    <row r="51" spans="1:13" x14ac:dyDescent="0.25">
      <c r="A51" s="24"/>
      <c r="B51" s="25"/>
      <c r="C51" s="25"/>
      <c r="D51" s="25"/>
      <c r="E51" s="24"/>
      <c r="F51" s="24"/>
      <c r="G51" s="1">
        <f>((Fórmulas!C$7/Fórmulas!D$7)/Fórmulas!E$7)*E51</f>
        <v>0</v>
      </c>
      <c r="H51" s="1">
        <f>G51*Fórmulas!B$9</f>
        <v>0</v>
      </c>
      <c r="I51" s="7">
        <f>E51/Fórmulas!E$7</f>
        <v>0</v>
      </c>
      <c r="J51" s="17">
        <f>G51*Fórmulas!B$10</f>
        <v>0</v>
      </c>
      <c r="K51" s="1">
        <v>1</v>
      </c>
      <c r="L51" s="1">
        <f>((Fórmulas!C$6/Fórmulas!D$6)/0.7)*K51</f>
        <v>2.4489795918367347</v>
      </c>
      <c r="M51" s="1">
        <f>L51*Fórmulas!D$6</f>
        <v>857.14285714285711</v>
      </c>
    </row>
    <row r="52" spans="1:13" x14ac:dyDescent="0.25">
      <c r="A52" s="24"/>
      <c r="B52" s="25"/>
      <c r="C52" s="25"/>
      <c r="D52" s="25"/>
      <c r="E52" s="24"/>
      <c r="F52" s="24"/>
      <c r="G52" s="1">
        <f>((Fórmulas!C$7/Fórmulas!D$7)/Fórmulas!E$7)*E52</f>
        <v>0</v>
      </c>
      <c r="H52" s="1">
        <f>G52*Fórmulas!B$9</f>
        <v>0</v>
      </c>
      <c r="I52" s="7">
        <f>E52/Fórmulas!E$7</f>
        <v>0</v>
      </c>
      <c r="J52" s="17">
        <f>G52*Fórmulas!B$10</f>
        <v>0</v>
      </c>
      <c r="K52" s="1">
        <v>1</v>
      </c>
      <c r="L52" s="1">
        <f>((Fórmulas!C$6/Fórmulas!D$6)/0.7)*K52</f>
        <v>2.4489795918367347</v>
      </c>
      <c r="M52" s="1">
        <f>L52*Fórmulas!D$6</f>
        <v>857.14285714285711</v>
      </c>
    </row>
    <row r="53" spans="1:13" x14ac:dyDescent="0.25">
      <c r="A53" s="24"/>
      <c r="B53" s="25"/>
      <c r="C53" s="25"/>
      <c r="D53" s="25"/>
      <c r="E53" s="24"/>
      <c r="F53" s="24"/>
      <c r="G53" s="1">
        <f>((Fórmulas!C$7/Fórmulas!D$7)/Fórmulas!E$7)*E53</f>
        <v>0</v>
      </c>
      <c r="H53" s="1">
        <f>G53*Fórmulas!B$9</f>
        <v>0</v>
      </c>
      <c r="I53" s="7">
        <f>E53/Fórmulas!E$7</f>
        <v>0</v>
      </c>
      <c r="J53" s="17">
        <f>G53*Fórmulas!B$10</f>
        <v>0</v>
      </c>
      <c r="K53" s="1">
        <v>1</v>
      </c>
      <c r="L53" s="1">
        <f>((Fórmulas!C$6/Fórmulas!D$6)/0.7)*K53</f>
        <v>2.4489795918367347</v>
      </c>
      <c r="M53" s="1">
        <f>L53*Fórmulas!D$6</f>
        <v>857.14285714285711</v>
      </c>
    </row>
    <row r="54" spans="1:13" x14ac:dyDescent="0.25">
      <c r="A54" s="24"/>
      <c r="B54" s="25"/>
      <c r="C54" s="25"/>
      <c r="D54" s="25"/>
      <c r="E54" s="24"/>
      <c r="F54" s="24"/>
      <c r="G54" s="1">
        <f>((Fórmulas!C$7/Fórmulas!D$7)/Fórmulas!E$7)*E54</f>
        <v>0</v>
      </c>
      <c r="H54" s="1">
        <f>G54*Fórmulas!B$9</f>
        <v>0</v>
      </c>
      <c r="I54" s="7">
        <f>E54/Fórmulas!E$7</f>
        <v>0</v>
      </c>
      <c r="J54" s="17">
        <f>G54*Fórmulas!B$10</f>
        <v>0</v>
      </c>
      <c r="K54" s="1">
        <v>1</v>
      </c>
      <c r="L54" s="1">
        <f>((Fórmulas!C$6/Fórmulas!D$6)/0.7)*K54</f>
        <v>2.4489795918367347</v>
      </c>
      <c r="M54" s="1">
        <f>L54*Fórmulas!D$6</f>
        <v>857.14285714285711</v>
      </c>
    </row>
    <row r="55" spans="1:13" x14ac:dyDescent="0.25">
      <c r="A55" s="24"/>
      <c r="B55" s="25"/>
      <c r="C55" s="25"/>
      <c r="D55" s="25"/>
      <c r="E55" s="24"/>
      <c r="F55" s="24"/>
      <c r="G55" s="1">
        <f>((Fórmulas!C$7/Fórmulas!D$7)/Fórmulas!E$7)*E55</f>
        <v>0</v>
      </c>
      <c r="H55" s="1">
        <f>G55*Fórmulas!B$9</f>
        <v>0</v>
      </c>
      <c r="I55" s="7">
        <f>E55/Fórmulas!E$7</f>
        <v>0</v>
      </c>
      <c r="J55" s="17">
        <f>G55*Fórmulas!B$10</f>
        <v>0</v>
      </c>
      <c r="K55" s="1">
        <v>1</v>
      </c>
      <c r="L55" s="1">
        <f>((Fórmulas!C$6/Fórmulas!D$6)/0.7)*K55</f>
        <v>2.4489795918367347</v>
      </c>
      <c r="M55" s="1">
        <f>L55*Fórmulas!D$6</f>
        <v>857.14285714285711</v>
      </c>
    </row>
    <row r="56" spans="1:13" x14ac:dyDescent="0.25">
      <c r="A56" s="24"/>
      <c r="B56" s="25"/>
      <c r="C56" s="25"/>
      <c r="D56" s="25"/>
      <c r="E56" s="24"/>
      <c r="F56" s="24"/>
      <c r="G56" s="1">
        <f>((Fórmulas!C$7/Fórmulas!D$7)/Fórmulas!E$7)*E56</f>
        <v>0</v>
      </c>
      <c r="H56" s="1">
        <f>G56*Fórmulas!B$9</f>
        <v>0</v>
      </c>
      <c r="I56" s="7">
        <f>E56/Fórmulas!E$7</f>
        <v>0</v>
      </c>
      <c r="J56" s="17">
        <f>G56*Fórmulas!B$10</f>
        <v>0</v>
      </c>
      <c r="K56" s="1">
        <v>1</v>
      </c>
      <c r="L56" s="1">
        <f>((Fórmulas!C$6/Fórmulas!D$6)/0.7)*K56</f>
        <v>2.4489795918367347</v>
      </c>
      <c r="M56" s="1">
        <f>L56*Fórmulas!D$6</f>
        <v>857.14285714285711</v>
      </c>
    </row>
    <row r="57" spans="1:13" x14ac:dyDescent="0.25">
      <c r="A57" s="24"/>
      <c r="B57" s="25"/>
      <c r="C57" s="25"/>
      <c r="D57" s="25"/>
      <c r="E57" s="24"/>
      <c r="F57" s="24"/>
      <c r="G57" s="1">
        <f>((Fórmulas!C$7/Fórmulas!D$7)/Fórmulas!E$7)*E57</f>
        <v>0</v>
      </c>
      <c r="H57" s="1">
        <f>G57*Fórmulas!B$9</f>
        <v>0</v>
      </c>
      <c r="I57" s="7">
        <f>E57/Fórmulas!E$7</f>
        <v>0</v>
      </c>
      <c r="J57" s="17">
        <f>G57*Fórmulas!B$10</f>
        <v>0</v>
      </c>
      <c r="K57" s="1">
        <v>1</v>
      </c>
      <c r="L57" s="1">
        <f>((Fórmulas!C$6/Fórmulas!D$6)/0.7)*K57</f>
        <v>2.4489795918367347</v>
      </c>
      <c r="M57" s="1">
        <f>L57*Fórmulas!D$6</f>
        <v>857.14285714285711</v>
      </c>
    </row>
    <row r="58" spans="1:13" x14ac:dyDescent="0.25">
      <c r="A58" s="24"/>
      <c r="B58" s="25"/>
      <c r="C58" s="25"/>
      <c r="D58" s="25"/>
      <c r="E58" s="24"/>
      <c r="F58" s="24"/>
      <c r="G58" s="1">
        <f>((Fórmulas!C$7/Fórmulas!D$7)/Fórmulas!E$7)*E58</f>
        <v>0</v>
      </c>
      <c r="H58" s="1">
        <f>G58*Fórmulas!B$9</f>
        <v>0</v>
      </c>
      <c r="I58" s="7">
        <f>E58/Fórmulas!E$7</f>
        <v>0</v>
      </c>
      <c r="J58" s="17">
        <f>G58*Fórmulas!B$10</f>
        <v>0</v>
      </c>
      <c r="K58" s="1">
        <v>1</v>
      </c>
      <c r="L58" s="1">
        <f>((Fórmulas!C$6/Fórmulas!D$6)/0.7)*K58</f>
        <v>2.4489795918367347</v>
      </c>
      <c r="M58" s="1">
        <f>L58*Fórmulas!D$6</f>
        <v>857.14285714285711</v>
      </c>
    </row>
    <row r="59" spans="1:13" x14ac:dyDescent="0.25">
      <c r="A59" s="24"/>
      <c r="B59" s="25"/>
      <c r="C59" s="25"/>
      <c r="D59" s="25"/>
      <c r="E59" s="24"/>
      <c r="F59" s="24"/>
      <c r="G59" s="1">
        <f>((Fórmulas!C$7/Fórmulas!D$7)/Fórmulas!E$7)*E59</f>
        <v>0</v>
      </c>
      <c r="H59" s="1">
        <f>G59*Fórmulas!B$9</f>
        <v>0</v>
      </c>
      <c r="I59" s="7">
        <f>E59/Fórmulas!E$7</f>
        <v>0</v>
      </c>
      <c r="J59" s="17">
        <f>G59*Fórmulas!B$10</f>
        <v>0</v>
      </c>
      <c r="K59" s="1">
        <v>1</v>
      </c>
      <c r="L59" s="1">
        <f>((Fórmulas!C$6/Fórmulas!D$6)/0.7)*K59</f>
        <v>2.4489795918367347</v>
      </c>
      <c r="M59" s="1">
        <f>L59*Fórmulas!D$6</f>
        <v>857.14285714285711</v>
      </c>
    </row>
    <row r="60" spans="1:13" x14ac:dyDescent="0.25">
      <c r="A60" s="24"/>
      <c r="B60" s="25"/>
      <c r="C60" s="25"/>
      <c r="D60" s="25"/>
      <c r="E60" s="24"/>
      <c r="F60" s="24"/>
      <c r="G60" s="1">
        <f>((Fórmulas!C$7/Fórmulas!D$7)/Fórmulas!E$7)*E60</f>
        <v>0</v>
      </c>
      <c r="H60" s="1">
        <f>G60*Fórmulas!B$9</f>
        <v>0</v>
      </c>
      <c r="I60" s="7">
        <f>E60/Fórmulas!E$7</f>
        <v>0</v>
      </c>
      <c r="J60" s="17">
        <f>G60*Fórmulas!B$10</f>
        <v>0</v>
      </c>
      <c r="K60" s="1">
        <v>1</v>
      </c>
      <c r="L60" s="1">
        <f>((Fórmulas!C$6/Fórmulas!D$6)/0.7)*K60</f>
        <v>2.4489795918367347</v>
      </c>
      <c r="M60" s="1">
        <f>L60*Fórmulas!D$6</f>
        <v>857.14285714285711</v>
      </c>
    </row>
    <row r="61" spans="1:13" x14ac:dyDescent="0.25">
      <c r="A61" s="24"/>
      <c r="B61" s="25"/>
      <c r="C61" s="25"/>
      <c r="D61" s="25"/>
      <c r="E61" s="24"/>
      <c r="F61" s="24"/>
      <c r="G61" s="1">
        <f>((Fórmulas!C$7/Fórmulas!D$7)/Fórmulas!E$7)*E61</f>
        <v>0</v>
      </c>
      <c r="H61" s="1">
        <f>G61*Fórmulas!B$9</f>
        <v>0</v>
      </c>
      <c r="I61" s="7">
        <f>E61/Fórmulas!E$7</f>
        <v>0</v>
      </c>
      <c r="J61" s="17">
        <f>G61*Fórmulas!B$10</f>
        <v>0</v>
      </c>
      <c r="K61" s="1">
        <v>1</v>
      </c>
      <c r="L61" s="1">
        <f>((Fórmulas!C$6/Fórmulas!D$6)/0.7)*K61</f>
        <v>2.4489795918367347</v>
      </c>
      <c r="M61" s="1">
        <f>L61*Fórmulas!D$6</f>
        <v>857.14285714285711</v>
      </c>
    </row>
    <row r="62" spans="1:13" x14ac:dyDescent="0.25">
      <c r="A62" s="24"/>
      <c r="B62" s="25"/>
      <c r="C62" s="25"/>
      <c r="D62" s="25"/>
      <c r="E62" s="24"/>
      <c r="F62" s="24"/>
      <c r="G62" s="1">
        <f>((Fórmulas!C$7/Fórmulas!D$7)/Fórmulas!E$7)*E62</f>
        <v>0</v>
      </c>
      <c r="H62" s="1">
        <f>G62*Fórmulas!B$9</f>
        <v>0</v>
      </c>
      <c r="I62" s="7">
        <f>E62/Fórmulas!E$7</f>
        <v>0</v>
      </c>
      <c r="J62" s="17">
        <f>G62*Fórmulas!B$10</f>
        <v>0</v>
      </c>
      <c r="K62" s="1">
        <v>1</v>
      </c>
      <c r="L62" s="1">
        <f>((Fórmulas!C$6/Fórmulas!D$6)/0.7)*K62</f>
        <v>2.4489795918367347</v>
      </c>
      <c r="M62" s="1">
        <f>L62*Fórmulas!D$6</f>
        <v>857.14285714285711</v>
      </c>
    </row>
    <row r="63" spans="1:13" x14ac:dyDescent="0.25">
      <c r="A63" s="24"/>
      <c r="B63" s="25"/>
      <c r="C63" s="25"/>
      <c r="D63" s="25"/>
      <c r="E63" s="24"/>
      <c r="F63" s="24"/>
      <c r="G63" s="1">
        <f>((Fórmulas!C$7/Fórmulas!D$7)/Fórmulas!E$7)*E63</f>
        <v>0</v>
      </c>
      <c r="H63" s="1">
        <f>G63*Fórmulas!B$9</f>
        <v>0</v>
      </c>
      <c r="I63" s="7">
        <f>E63/Fórmulas!E$7</f>
        <v>0</v>
      </c>
      <c r="J63" s="17">
        <f>G63*Fórmulas!B$10</f>
        <v>0</v>
      </c>
      <c r="K63" s="1">
        <v>1</v>
      </c>
      <c r="L63" s="1">
        <f>((Fórmulas!C$6/Fórmulas!D$6)/0.7)*K63</f>
        <v>2.4489795918367347</v>
      </c>
      <c r="M63" s="1">
        <f>L63*Fórmulas!D$6</f>
        <v>857.14285714285711</v>
      </c>
    </row>
    <row r="64" spans="1:13" x14ac:dyDescent="0.25">
      <c r="A64" s="24"/>
      <c r="B64" s="25"/>
      <c r="C64" s="25"/>
      <c r="D64" s="25"/>
      <c r="E64" s="24"/>
      <c r="F64" s="24"/>
      <c r="G64" s="1">
        <f>((Fórmulas!C$7/Fórmulas!D$7)/Fórmulas!E$7)*E64</f>
        <v>0</v>
      </c>
      <c r="H64" s="1">
        <f>G64*Fórmulas!B$9</f>
        <v>0</v>
      </c>
      <c r="I64" s="7">
        <f>E64/Fórmulas!E$7</f>
        <v>0</v>
      </c>
      <c r="J64" s="17">
        <f>G64*Fórmulas!B$10</f>
        <v>0</v>
      </c>
      <c r="K64" s="1">
        <v>1</v>
      </c>
      <c r="L64" s="1">
        <f>((Fórmulas!C$6/Fórmulas!D$6)/0.7)*K64</f>
        <v>2.4489795918367347</v>
      </c>
      <c r="M64" s="1">
        <f>L64*Fórmulas!D$6</f>
        <v>857.14285714285711</v>
      </c>
    </row>
    <row r="65" spans="1:13" x14ac:dyDescent="0.25">
      <c r="A65" s="24"/>
      <c r="B65" s="25"/>
      <c r="C65" s="25"/>
      <c r="D65" s="25"/>
      <c r="E65" s="24"/>
      <c r="F65" s="24"/>
      <c r="G65" s="1">
        <f>((Fórmulas!C$7/Fórmulas!D$7)/Fórmulas!E$7)*E65</f>
        <v>0</v>
      </c>
      <c r="H65" s="1">
        <f>G65*Fórmulas!B$9</f>
        <v>0</v>
      </c>
      <c r="I65" s="7">
        <f>E65/Fórmulas!E$7</f>
        <v>0</v>
      </c>
      <c r="J65" s="17">
        <f>G65*Fórmulas!B$10</f>
        <v>0</v>
      </c>
      <c r="K65" s="1">
        <v>1</v>
      </c>
      <c r="L65" s="1">
        <f>((Fórmulas!C$6/Fórmulas!D$6)/0.7)*K65</f>
        <v>2.4489795918367347</v>
      </c>
      <c r="M65" s="1">
        <f>L65*Fórmulas!D$6</f>
        <v>857.14285714285711</v>
      </c>
    </row>
    <row r="66" spans="1:13" x14ac:dyDescent="0.25">
      <c r="A66" s="24"/>
      <c r="B66" s="25"/>
      <c r="C66" s="25"/>
      <c r="D66" s="25"/>
      <c r="E66" s="24"/>
      <c r="F66" s="24"/>
      <c r="G66" s="1">
        <f>((Fórmulas!C$7/Fórmulas!D$7)/Fórmulas!E$7)*E66</f>
        <v>0</v>
      </c>
      <c r="H66" s="1">
        <f>G66*Fórmulas!B$9</f>
        <v>0</v>
      </c>
      <c r="I66" s="7">
        <f>E66/Fórmulas!E$7</f>
        <v>0</v>
      </c>
      <c r="J66" s="17">
        <f>G66*Fórmulas!B$10</f>
        <v>0</v>
      </c>
      <c r="K66" s="1">
        <v>1</v>
      </c>
      <c r="L66" s="1">
        <f>((Fórmulas!C$6/Fórmulas!D$6)/0.7)*K66</f>
        <v>2.4489795918367347</v>
      </c>
      <c r="M66" s="1">
        <f>L66*Fórmulas!D$6</f>
        <v>857.14285714285711</v>
      </c>
    </row>
    <row r="67" spans="1:13" x14ac:dyDescent="0.25">
      <c r="A67" s="24"/>
      <c r="B67" s="25"/>
      <c r="C67" s="25"/>
      <c r="D67" s="25"/>
      <c r="E67" s="24"/>
      <c r="F67" s="24"/>
      <c r="G67" s="1">
        <f>((Fórmulas!C$7/Fórmulas!D$7)/Fórmulas!E$7)*E67</f>
        <v>0</v>
      </c>
      <c r="H67" s="1">
        <f>G67*Fórmulas!B$9</f>
        <v>0</v>
      </c>
      <c r="I67" s="7">
        <f>E67/Fórmulas!E$7</f>
        <v>0</v>
      </c>
      <c r="J67" s="17">
        <f>G67*Fórmulas!B$10</f>
        <v>0</v>
      </c>
      <c r="K67" s="1">
        <v>1</v>
      </c>
      <c r="L67" s="1">
        <f>((Fórmulas!C$6/Fórmulas!D$6)/0.7)*K67</f>
        <v>2.4489795918367347</v>
      </c>
      <c r="M67" s="1">
        <f>L67*Fórmulas!D$6</f>
        <v>857.14285714285711</v>
      </c>
    </row>
    <row r="68" spans="1:13" x14ac:dyDescent="0.25">
      <c r="A68" s="24"/>
      <c r="B68" s="25"/>
      <c r="C68" s="25"/>
      <c r="D68" s="25"/>
      <c r="E68" s="24"/>
      <c r="F68" s="24"/>
      <c r="G68" s="1">
        <f>((Fórmulas!C$7/Fórmulas!D$7)/Fórmulas!E$7)*E68</f>
        <v>0</v>
      </c>
      <c r="H68" s="1">
        <f>G68*Fórmulas!B$9</f>
        <v>0</v>
      </c>
      <c r="I68" s="7">
        <f>E68/Fórmulas!E$7</f>
        <v>0</v>
      </c>
      <c r="J68" s="17">
        <f>G68*Fórmulas!B$10</f>
        <v>0</v>
      </c>
      <c r="K68" s="1">
        <v>1</v>
      </c>
      <c r="L68" s="1">
        <f>((Fórmulas!C$6/Fórmulas!D$6)/0.7)*K68</f>
        <v>2.4489795918367347</v>
      </c>
      <c r="M68" s="1">
        <f>L68*Fórmulas!D$6</f>
        <v>857.14285714285711</v>
      </c>
    </row>
    <row r="69" spans="1:13" x14ac:dyDescent="0.25">
      <c r="A69" s="24"/>
      <c r="B69" s="25"/>
      <c r="C69" s="25"/>
      <c r="D69" s="25"/>
      <c r="E69" s="24"/>
      <c r="F69" s="24"/>
      <c r="G69" s="1">
        <f>((Fórmulas!C$7/Fórmulas!D$7)/Fórmulas!E$7)*E69</f>
        <v>0</v>
      </c>
      <c r="H69" s="1">
        <f>G69*Fórmulas!B$9</f>
        <v>0</v>
      </c>
      <c r="I69" s="7">
        <f>E69/Fórmulas!E$7</f>
        <v>0</v>
      </c>
      <c r="J69" s="17">
        <f>G69*Fórmulas!B$10</f>
        <v>0</v>
      </c>
      <c r="K69" s="1">
        <v>1</v>
      </c>
      <c r="L69" s="1">
        <f>((Fórmulas!C$6/Fórmulas!D$6)/0.7)*K69</f>
        <v>2.4489795918367347</v>
      </c>
      <c r="M69" s="1">
        <f>L69*Fórmulas!D$6</f>
        <v>857.14285714285711</v>
      </c>
    </row>
    <row r="70" spans="1:13" x14ac:dyDescent="0.25">
      <c r="A70" s="24"/>
      <c r="B70" s="25"/>
      <c r="C70" s="25"/>
      <c r="D70" s="25"/>
      <c r="E70" s="24"/>
      <c r="F70" s="24"/>
      <c r="G70" s="1">
        <f>((Fórmulas!C$7/Fórmulas!D$7)/Fórmulas!E$7)*E70</f>
        <v>0</v>
      </c>
      <c r="H70" s="1">
        <f>G70*Fórmulas!B$9</f>
        <v>0</v>
      </c>
      <c r="I70" s="7">
        <f>E70/Fórmulas!E$7</f>
        <v>0</v>
      </c>
      <c r="J70" s="17">
        <f>G70*Fórmulas!B$10</f>
        <v>0</v>
      </c>
      <c r="K70" s="1">
        <v>1</v>
      </c>
      <c r="L70" s="1">
        <f>((Fórmulas!C$6/Fórmulas!D$6)/0.7)*K70</f>
        <v>2.4489795918367347</v>
      </c>
      <c r="M70" s="1">
        <f>L70*Fórmulas!D$6</f>
        <v>857.14285714285711</v>
      </c>
    </row>
    <row r="71" spans="1:13" x14ac:dyDescent="0.25">
      <c r="A71" s="24"/>
      <c r="B71" s="25"/>
      <c r="C71" s="25"/>
      <c r="D71" s="25"/>
      <c r="E71" s="24"/>
      <c r="F71" s="24"/>
      <c r="G71" s="1">
        <f>((Fórmulas!C$7/Fórmulas!D$7)/Fórmulas!E$7)*E71</f>
        <v>0</v>
      </c>
      <c r="H71" s="1">
        <f>G71*Fórmulas!B$9</f>
        <v>0</v>
      </c>
      <c r="I71" s="7">
        <f>E71/Fórmulas!E$7</f>
        <v>0</v>
      </c>
      <c r="J71" s="17">
        <f>G71*Fórmulas!B$10</f>
        <v>0</v>
      </c>
      <c r="K71" s="1">
        <v>1</v>
      </c>
      <c r="L71" s="1">
        <f>((Fórmulas!C$6/Fórmulas!D$6)/0.7)*K71</f>
        <v>2.4489795918367347</v>
      </c>
      <c r="M71" s="1">
        <f>L71*Fórmulas!D$6</f>
        <v>857.14285714285711</v>
      </c>
    </row>
    <row r="72" spans="1:13" x14ac:dyDescent="0.25">
      <c r="A72" s="24"/>
      <c r="B72" s="25"/>
      <c r="C72" s="25"/>
      <c r="D72" s="25"/>
      <c r="E72" s="24"/>
      <c r="F72" s="24"/>
      <c r="G72" s="1">
        <f>((Fórmulas!C$7/Fórmulas!D$7)/Fórmulas!E$7)*E72</f>
        <v>0</v>
      </c>
      <c r="H72" s="1">
        <f>G72*Fórmulas!B$9</f>
        <v>0</v>
      </c>
      <c r="I72" s="7">
        <f>E72/Fórmulas!E$7</f>
        <v>0</v>
      </c>
      <c r="J72" s="17">
        <f>G72*Fórmulas!B$10</f>
        <v>0</v>
      </c>
      <c r="K72" s="1">
        <v>1</v>
      </c>
      <c r="L72" s="1">
        <f>((Fórmulas!C$6/Fórmulas!D$6)/0.7)*K72</f>
        <v>2.4489795918367347</v>
      </c>
      <c r="M72" s="1">
        <f>L72*Fórmulas!D$6</f>
        <v>857.14285714285711</v>
      </c>
    </row>
    <row r="73" spans="1:13" x14ac:dyDescent="0.25">
      <c r="A73" s="24"/>
      <c r="B73" s="25"/>
      <c r="C73" s="25"/>
      <c r="D73" s="25"/>
      <c r="E73" s="24"/>
      <c r="F73" s="24"/>
      <c r="G73" s="1">
        <f>((Fórmulas!C$7/Fórmulas!D$7)/Fórmulas!E$7)*E73</f>
        <v>0</v>
      </c>
      <c r="H73" s="1">
        <f>G73*Fórmulas!B$9</f>
        <v>0</v>
      </c>
      <c r="I73" s="7">
        <f>E73/Fórmulas!E$7</f>
        <v>0</v>
      </c>
      <c r="J73" s="17">
        <f>G73*Fórmulas!B$10</f>
        <v>0</v>
      </c>
      <c r="K73" s="1">
        <v>1</v>
      </c>
      <c r="L73" s="1">
        <f>((Fórmulas!C$6/Fórmulas!D$6)/0.7)*K73</f>
        <v>2.4489795918367347</v>
      </c>
      <c r="M73" s="1">
        <f>L73*Fórmulas!D$6</f>
        <v>857.14285714285711</v>
      </c>
    </row>
    <row r="74" spans="1:13" x14ac:dyDescent="0.25">
      <c r="A74" s="24"/>
      <c r="B74" s="25"/>
      <c r="C74" s="25"/>
      <c r="D74" s="25"/>
      <c r="E74" s="24"/>
      <c r="F74" s="24"/>
      <c r="G74" s="1">
        <f>((Fórmulas!C$7/Fórmulas!D$7)/Fórmulas!E$7)*E74</f>
        <v>0</v>
      </c>
      <c r="H74" s="1">
        <f>G74*Fórmulas!B$9</f>
        <v>0</v>
      </c>
      <c r="I74" s="7">
        <f>E74/Fórmulas!E$7</f>
        <v>0</v>
      </c>
      <c r="J74" s="17">
        <f>G74*Fórmulas!B$10</f>
        <v>0</v>
      </c>
      <c r="K74" s="1">
        <v>1</v>
      </c>
      <c r="L74" s="1">
        <f>((Fórmulas!C$6/Fórmulas!D$6)/0.7)*K74</f>
        <v>2.4489795918367347</v>
      </c>
      <c r="M74" s="1">
        <f>L74*Fórmulas!D$6</f>
        <v>857.14285714285711</v>
      </c>
    </row>
    <row r="75" spans="1:13" x14ac:dyDescent="0.25">
      <c r="A75" s="24"/>
      <c r="B75" s="25"/>
      <c r="C75" s="25"/>
      <c r="D75" s="25"/>
      <c r="E75" s="24"/>
      <c r="F75" s="24"/>
      <c r="G75" s="1">
        <f>((Fórmulas!C$7/Fórmulas!D$7)/Fórmulas!E$7)*E75</f>
        <v>0</v>
      </c>
      <c r="H75" s="1">
        <f>G75*Fórmulas!B$9</f>
        <v>0</v>
      </c>
      <c r="I75" s="7">
        <f>E75/Fórmulas!E$7</f>
        <v>0</v>
      </c>
      <c r="J75" s="17">
        <f>G75*Fórmulas!B$10</f>
        <v>0</v>
      </c>
      <c r="K75" s="1">
        <v>1</v>
      </c>
      <c r="L75" s="1">
        <f>((Fórmulas!C$6/Fórmulas!D$6)/0.7)*K75</f>
        <v>2.4489795918367347</v>
      </c>
      <c r="M75" s="1">
        <f>L75*Fórmulas!D$6</f>
        <v>857.14285714285711</v>
      </c>
    </row>
    <row r="76" spans="1:13" x14ac:dyDescent="0.25">
      <c r="A76" s="24"/>
      <c r="B76" s="25"/>
      <c r="C76" s="25"/>
      <c r="D76" s="25"/>
      <c r="E76" s="24"/>
      <c r="F76" s="24"/>
      <c r="G76" s="1">
        <f>((Fórmulas!C$7/Fórmulas!D$7)/Fórmulas!E$7)*E76</f>
        <v>0</v>
      </c>
      <c r="H76" s="1">
        <f>G76*Fórmulas!B$9</f>
        <v>0</v>
      </c>
      <c r="I76" s="7">
        <f>E76/Fórmulas!E$7</f>
        <v>0</v>
      </c>
      <c r="J76" s="17">
        <f>G76*Fórmulas!B$10</f>
        <v>0</v>
      </c>
      <c r="K76" s="1">
        <v>1</v>
      </c>
      <c r="L76" s="1">
        <f>((Fórmulas!C$6/Fórmulas!D$6)/0.7)*K76</f>
        <v>2.4489795918367347</v>
      </c>
      <c r="M76" s="1">
        <f>L76*Fórmulas!D$6</f>
        <v>857.14285714285711</v>
      </c>
    </row>
    <row r="77" spans="1:13" x14ac:dyDescent="0.25">
      <c r="A77" s="24"/>
      <c r="B77" s="25"/>
      <c r="C77" s="25"/>
      <c r="D77" s="25"/>
      <c r="E77" s="24"/>
      <c r="F77" s="24"/>
      <c r="G77" s="1">
        <f>((Fórmulas!C$7/Fórmulas!D$7)/Fórmulas!E$7)*E77</f>
        <v>0</v>
      </c>
      <c r="H77" s="1">
        <f>G77*Fórmulas!B$9</f>
        <v>0</v>
      </c>
      <c r="I77" s="7">
        <f>E77/Fórmulas!E$7</f>
        <v>0</v>
      </c>
      <c r="J77" s="17">
        <f>G77*Fórmulas!B$10</f>
        <v>0</v>
      </c>
      <c r="K77" s="1">
        <v>1</v>
      </c>
      <c r="L77" s="1">
        <f>((Fórmulas!C$6/Fórmulas!D$6)/0.7)*K77</f>
        <v>2.4489795918367347</v>
      </c>
      <c r="M77" s="1">
        <f>L77*Fórmulas!D$6</f>
        <v>857.14285714285711</v>
      </c>
    </row>
    <row r="78" spans="1:13" x14ac:dyDescent="0.25">
      <c r="A78" s="24"/>
      <c r="B78" s="25"/>
      <c r="C78" s="25"/>
      <c r="D78" s="25"/>
      <c r="E78" s="24"/>
      <c r="F78" s="24"/>
      <c r="G78" s="1">
        <f>((Fórmulas!C$7/Fórmulas!D$7)/Fórmulas!E$7)*E78</f>
        <v>0</v>
      </c>
      <c r="H78" s="1">
        <f>G78*Fórmulas!B$9</f>
        <v>0</v>
      </c>
      <c r="I78" s="7">
        <f>E78/Fórmulas!E$7</f>
        <v>0</v>
      </c>
      <c r="J78" s="17">
        <f>G78*Fórmulas!B$10</f>
        <v>0</v>
      </c>
      <c r="K78" s="1">
        <v>1</v>
      </c>
      <c r="L78" s="1">
        <f>((Fórmulas!C$6/Fórmulas!D$6)/0.7)*K78</f>
        <v>2.4489795918367347</v>
      </c>
      <c r="M78" s="1">
        <f>L78*Fórmulas!D$6</f>
        <v>857.14285714285711</v>
      </c>
    </row>
    <row r="79" spans="1:13" x14ac:dyDescent="0.25">
      <c r="A79" s="24"/>
      <c r="B79" s="25"/>
      <c r="C79" s="25"/>
      <c r="D79" s="25"/>
      <c r="E79" s="24"/>
      <c r="F79" s="24"/>
      <c r="G79" s="1">
        <f>((Fórmulas!C$7/Fórmulas!D$7)/Fórmulas!E$7)*E79</f>
        <v>0</v>
      </c>
      <c r="H79" s="1">
        <f>G79*Fórmulas!B$9</f>
        <v>0</v>
      </c>
      <c r="I79" s="7">
        <f>E79/Fórmulas!E$7</f>
        <v>0</v>
      </c>
      <c r="J79" s="17">
        <f>G79*Fórmulas!B$10</f>
        <v>0</v>
      </c>
      <c r="K79" s="1">
        <v>1</v>
      </c>
      <c r="L79" s="1">
        <f>((Fórmulas!C$6/Fórmulas!D$6)/0.7)*K79</f>
        <v>2.4489795918367347</v>
      </c>
      <c r="M79" s="1">
        <f>L79*Fórmulas!D$6</f>
        <v>857.14285714285711</v>
      </c>
    </row>
    <row r="80" spans="1:13" x14ac:dyDescent="0.25">
      <c r="A80" s="24"/>
      <c r="B80" s="25"/>
      <c r="C80" s="25"/>
      <c r="D80" s="25"/>
      <c r="E80" s="24"/>
      <c r="F80" s="24"/>
      <c r="G80" s="1">
        <f>((Fórmulas!C$7/Fórmulas!D$7)/Fórmulas!E$7)*E80</f>
        <v>0</v>
      </c>
      <c r="H80" s="1">
        <f>G80*Fórmulas!B$9</f>
        <v>0</v>
      </c>
      <c r="I80" s="7">
        <f>E80/Fórmulas!E$7</f>
        <v>0</v>
      </c>
      <c r="J80" s="17">
        <f>G80*Fórmulas!B$10</f>
        <v>0</v>
      </c>
      <c r="K80" s="1">
        <v>1</v>
      </c>
      <c r="L80" s="1">
        <f>((Fórmulas!C$6/Fórmulas!D$6)/0.7)*K80</f>
        <v>2.4489795918367347</v>
      </c>
      <c r="M80" s="1">
        <f>L80*Fórmulas!D$6</f>
        <v>857.14285714285711</v>
      </c>
    </row>
    <row r="81" spans="1:13" x14ac:dyDescent="0.25">
      <c r="A81" s="24"/>
      <c r="B81" s="25"/>
      <c r="C81" s="25"/>
      <c r="D81" s="25"/>
      <c r="E81" s="24"/>
      <c r="F81" s="24"/>
      <c r="G81" s="1">
        <f>((Fórmulas!C$7/Fórmulas!D$7)/Fórmulas!E$7)*E81</f>
        <v>0</v>
      </c>
      <c r="H81" s="1">
        <f>G81*Fórmulas!B$9</f>
        <v>0</v>
      </c>
      <c r="I81" s="7">
        <f>E81/Fórmulas!E$7</f>
        <v>0</v>
      </c>
      <c r="J81" s="17">
        <f>G81*Fórmulas!B$10</f>
        <v>0</v>
      </c>
      <c r="K81" s="1">
        <v>1</v>
      </c>
      <c r="L81" s="1">
        <f>((Fórmulas!C$6/Fórmulas!D$6)/0.7)*K81</f>
        <v>2.4489795918367347</v>
      </c>
      <c r="M81" s="1">
        <f>L81*Fórmulas!D$6</f>
        <v>857.14285714285711</v>
      </c>
    </row>
    <row r="82" spans="1:13" x14ac:dyDescent="0.25">
      <c r="A82" s="24"/>
      <c r="B82" s="25"/>
      <c r="C82" s="25"/>
      <c r="D82" s="25"/>
      <c r="E82" s="24"/>
      <c r="F82" s="24"/>
      <c r="G82" s="1">
        <f>((Fórmulas!C$7/Fórmulas!D$7)/Fórmulas!E$7)*E82</f>
        <v>0</v>
      </c>
      <c r="H82" s="1">
        <f>G82*Fórmulas!B$9</f>
        <v>0</v>
      </c>
      <c r="I82" s="7">
        <f>E82/Fórmulas!E$7</f>
        <v>0</v>
      </c>
      <c r="J82" s="17">
        <f>G82*Fórmulas!B$10</f>
        <v>0</v>
      </c>
      <c r="K82" s="1">
        <v>1</v>
      </c>
      <c r="L82" s="1">
        <f>((Fórmulas!C$6/Fórmulas!D$6)/0.7)*K82</f>
        <v>2.4489795918367347</v>
      </c>
      <c r="M82" s="1">
        <f>L82*Fórmulas!D$6</f>
        <v>857.14285714285711</v>
      </c>
    </row>
    <row r="83" spans="1:13" x14ac:dyDescent="0.25">
      <c r="A83" s="24"/>
      <c r="B83" s="25"/>
      <c r="C83" s="25"/>
      <c r="D83" s="25"/>
      <c r="E83" s="24"/>
      <c r="F83" s="24"/>
      <c r="G83" s="1">
        <f>((Fórmulas!C$7/Fórmulas!D$7)/Fórmulas!E$7)*E83</f>
        <v>0</v>
      </c>
      <c r="H83" s="1">
        <f>G83*Fórmulas!B$9</f>
        <v>0</v>
      </c>
      <c r="I83" s="7">
        <f>E83/Fórmulas!E$7</f>
        <v>0</v>
      </c>
      <c r="J83" s="17">
        <f>G83*Fórmulas!B$10</f>
        <v>0</v>
      </c>
      <c r="K83" s="1">
        <v>1</v>
      </c>
      <c r="L83" s="1">
        <f>((Fórmulas!C$6/Fórmulas!D$6)/0.7)*K83</f>
        <v>2.4489795918367347</v>
      </c>
      <c r="M83" s="1">
        <f>L83*Fórmulas!D$6</f>
        <v>857.14285714285711</v>
      </c>
    </row>
    <row r="84" spans="1:13" x14ac:dyDescent="0.25">
      <c r="A84" s="24"/>
      <c r="B84" s="25"/>
      <c r="C84" s="25"/>
      <c r="D84" s="25"/>
      <c r="E84" s="24"/>
      <c r="F84" s="24"/>
      <c r="G84" s="1">
        <f>((Fórmulas!C$7/Fórmulas!D$7)/Fórmulas!E$7)*E84</f>
        <v>0</v>
      </c>
      <c r="H84" s="1">
        <f>G84*Fórmulas!B$9</f>
        <v>0</v>
      </c>
      <c r="I84" s="7">
        <f>E84/Fórmulas!E$7</f>
        <v>0</v>
      </c>
      <c r="J84" s="17">
        <f>G84*Fórmulas!B$10</f>
        <v>0</v>
      </c>
      <c r="K84" s="1">
        <v>1</v>
      </c>
      <c r="L84" s="1">
        <f>((Fórmulas!C$6/Fórmulas!D$6)/0.7)*K84</f>
        <v>2.4489795918367347</v>
      </c>
      <c r="M84" s="1">
        <f>L84*Fórmulas!D$6</f>
        <v>857.14285714285711</v>
      </c>
    </row>
    <row r="85" spans="1:13" x14ac:dyDescent="0.25">
      <c r="A85" s="24"/>
      <c r="B85" s="25"/>
      <c r="C85" s="25"/>
      <c r="D85" s="25"/>
      <c r="E85" s="24"/>
      <c r="F85" s="24"/>
      <c r="G85" s="1">
        <f>((Fórmulas!C$7/Fórmulas!D$7)/Fórmulas!E$7)*E85</f>
        <v>0</v>
      </c>
      <c r="H85" s="1">
        <f>G85*Fórmulas!B$9</f>
        <v>0</v>
      </c>
      <c r="I85" s="7">
        <f>E85/Fórmulas!E$7</f>
        <v>0</v>
      </c>
      <c r="J85" s="17">
        <f>G85*Fórmulas!B$10</f>
        <v>0</v>
      </c>
      <c r="K85" s="1">
        <v>1</v>
      </c>
      <c r="L85" s="1">
        <f>((Fórmulas!C$6/Fórmulas!D$6)/0.7)*K85</f>
        <v>2.4489795918367347</v>
      </c>
      <c r="M85" s="1">
        <f>L85*Fórmulas!D$6</f>
        <v>857.14285714285711</v>
      </c>
    </row>
    <row r="86" spans="1:13" x14ac:dyDescent="0.25">
      <c r="A86" s="24"/>
      <c r="B86" s="25"/>
      <c r="C86" s="25"/>
      <c r="D86" s="25"/>
      <c r="E86" s="24"/>
      <c r="F86" s="24"/>
      <c r="G86" s="1">
        <f>((Fórmulas!C$7/Fórmulas!D$7)/Fórmulas!E$7)*E86</f>
        <v>0</v>
      </c>
      <c r="H86" s="1">
        <f>G86*Fórmulas!B$9</f>
        <v>0</v>
      </c>
      <c r="I86" s="7">
        <f>E86/Fórmulas!E$7</f>
        <v>0</v>
      </c>
      <c r="J86" s="17">
        <f>G86*Fórmulas!B$10</f>
        <v>0</v>
      </c>
      <c r="K86" s="1">
        <v>1</v>
      </c>
      <c r="L86" s="1">
        <f>((Fórmulas!C$6/Fórmulas!D$6)/0.7)*K86</f>
        <v>2.4489795918367347</v>
      </c>
      <c r="M86" s="1">
        <f>L86*Fórmulas!D$6</f>
        <v>857.14285714285711</v>
      </c>
    </row>
    <row r="87" spans="1:13" x14ac:dyDescent="0.25">
      <c r="A87" s="24"/>
      <c r="B87" s="25"/>
      <c r="C87" s="25"/>
      <c r="D87" s="25"/>
      <c r="E87" s="24"/>
      <c r="F87" s="24"/>
      <c r="G87" s="1">
        <f>((Fórmulas!C$7/Fórmulas!D$7)/Fórmulas!E$7)*E87</f>
        <v>0</v>
      </c>
      <c r="H87" s="1">
        <f>G87*Fórmulas!B$9</f>
        <v>0</v>
      </c>
      <c r="I87" s="7">
        <f>E87/Fórmulas!E$7</f>
        <v>0</v>
      </c>
      <c r="J87" s="17">
        <f>G87*Fórmulas!B$10</f>
        <v>0</v>
      </c>
      <c r="K87" s="1">
        <v>1</v>
      </c>
      <c r="L87" s="1">
        <f>((Fórmulas!C$6/Fórmulas!D$6)/0.7)*K87</f>
        <v>2.4489795918367347</v>
      </c>
      <c r="M87" s="1">
        <f>L87*Fórmulas!D$6</f>
        <v>857.14285714285711</v>
      </c>
    </row>
    <row r="88" spans="1:13" x14ac:dyDescent="0.25">
      <c r="A88" s="24"/>
      <c r="B88" s="25"/>
      <c r="C88" s="25"/>
      <c r="D88" s="25"/>
      <c r="E88" s="24"/>
      <c r="F88" s="24"/>
      <c r="G88" s="1">
        <f>((Fórmulas!C$7/Fórmulas!D$7)/Fórmulas!E$7)*E88</f>
        <v>0</v>
      </c>
      <c r="H88" s="1">
        <f>G88*Fórmulas!B$9</f>
        <v>0</v>
      </c>
      <c r="I88" s="7">
        <f>E88/Fórmulas!E$7</f>
        <v>0</v>
      </c>
      <c r="J88" s="17">
        <f>G88*Fórmulas!B$10</f>
        <v>0</v>
      </c>
      <c r="K88" s="1">
        <v>1</v>
      </c>
      <c r="L88" s="1">
        <f>((Fórmulas!C$6/Fórmulas!D$6)/0.7)*K88</f>
        <v>2.4489795918367347</v>
      </c>
      <c r="M88" s="1">
        <f>L88*Fórmulas!D$6</f>
        <v>857.14285714285711</v>
      </c>
    </row>
    <row r="89" spans="1:13" x14ac:dyDescent="0.25">
      <c r="A89" s="24"/>
      <c r="B89" s="25"/>
      <c r="C89" s="25"/>
      <c r="D89" s="25"/>
      <c r="E89" s="24"/>
      <c r="F89" s="24"/>
      <c r="G89" s="1">
        <f>((Fórmulas!C$7/Fórmulas!D$7)/Fórmulas!E$7)*E89</f>
        <v>0</v>
      </c>
      <c r="H89" s="1">
        <f>G89*Fórmulas!B$9</f>
        <v>0</v>
      </c>
      <c r="I89" s="7">
        <f>E89/Fórmulas!E$7</f>
        <v>0</v>
      </c>
      <c r="J89" s="17">
        <f>G89*Fórmulas!B$10</f>
        <v>0</v>
      </c>
      <c r="K89" s="1">
        <v>1</v>
      </c>
      <c r="L89" s="1">
        <f>((Fórmulas!C$6/Fórmulas!D$6)/0.7)*K89</f>
        <v>2.4489795918367347</v>
      </c>
      <c r="M89" s="1">
        <f>L89*Fórmulas!D$6</f>
        <v>857.14285714285711</v>
      </c>
    </row>
    <row r="90" spans="1:13" x14ac:dyDescent="0.25">
      <c r="A90" s="24"/>
      <c r="B90" s="25"/>
      <c r="C90" s="25"/>
      <c r="D90" s="25"/>
      <c r="E90" s="24"/>
      <c r="F90" s="24"/>
      <c r="G90" s="1">
        <f>((Fórmulas!C$7/Fórmulas!D$7)/Fórmulas!E$7)*E90</f>
        <v>0</v>
      </c>
      <c r="H90" s="1">
        <f>G90*Fórmulas!B$9</f>
        <v>0</v>
      </c>
      <c r="I90" s="7">
        <f>E90/Fórmulas!E$7</f>
        <v>0</v>
      </c>
      <c r="J90" s="17">
        <f>G90*Fórmulas!B$10</f>
        <v>0</v>
      </c>
      <c r="K90" s="1">
        <v>1</v>
      </c>
      <c r="L90" s="1">
        <f>((Fórmulas!C$6/Fórmulas!D$6)/0.7)*K90</f>
        <v>2.4489795918367347</v>
      </c>
      <c r="M90" s="1">
        <f>L90*Fórmulas!D$6</f>
        <v>857.14285714285711</v>
      </c>
    </row>
    <row r="91" spans="1:13" x14ac:dyDescent="0.25">
      <c r="A91" s="24"/>
      <c r="B91" s="25"/>
      <c r="C91" s="25"/>
      <c r="D91" s="25"/>
      <c r="E91" s="24"/>
      <c r="F91" s="24"/>
      <c r="G91" s="1">
        <f>((Fórmulas!C$7/Fórmulas!D$7)/Fórmulas!E$7)*E91</f>
        <v>0</v>
      </c>
      <c r="H91" s="1">
        <f>G91*Fórmulas!B$9</f>
        <v>0</v>
      </c>
      <c r="I91" s="7">
        <f>E91/Fórmulas!E$7</f>
        <v>0</v>
      </c>
      <c r="J91" s="17">
        <f>G91*Fórmulas!B$10</f>
        <v>0</v>
      </c>
      <c r="K91" s="1">
        <v>1</v>
      </c>
      <c r="L91" s="1">
        <f>((Fórmulas!C$6/Fórmulas!D$6)/0.7)*K91</f>
        <v>2.4489795918367347</v>
      </c>
      <c r="M91" s="1">
        <f>L91*Fórmulas!D$6</f>
        <v>857.14285714285711</v>
      </c>
    </row>
    <row r="92" spans="1:13" x14ac:dyDescent="0.25">
      <c r="A92" s="24"/>
      <c r="B92" s="25"/>
      <c r="C92" s="25"/>
      <c r="D92" s="25"/>
      <c r="E92" s="24"/>
      <c r="F92" s="24"/>
      <c r="G92" s="1">
        <f>((Fórmulas!C$7/Fórmulas!D$7)/Fórmulas!E$7)*E92</f>
        <v>0</v>
      </c>
      <c r="H92" s="1">
        <f>G92*Fórmulas!B$9</f>
        <v>0</v>
      </c>
      <c r="I92" s="7">
        <f>E92/Fórmulas!E$7</f>
        <v>0</v>
      </c>
      <c r="J92" s="17">
        <f>G92*Fórmulas!B$10</f>
        <v>0</v>
      </c>
      <c r="K92" s="1">
        <v>1</v>
      </c>
      <c r="L92" s="1">
        <f>((Fórmulas!C$6/Fórmulas!D$6)/0.7)*K92</f>
        <v>2.4489795918367347</v>
      </c>
      <c r="M92" s="1">
        <f>L92*Fórmulas!D$6</f>
        <v>857.14285714285711</v>
      </c>
    </row>
    <row r="93" spans="1:13" x14ac:dyDescent="0.25">
      <c r="A93" s="24"/>
      <c r="B93" s="25"/>
      <c r="C93" s="25"/>
      <c r="D93" s="25"/>
      <c r="E93" s="24"/>
      <c r="F93" s="24"/>
      <c r="G93" s="1">
        <f>((Fórmulas!C$7/Fórmulas!D$7)/Fórmulas!E$7)*E93</f>
        <v>0</v>
      </c>
      <c r="H93" s="1">
        <f>G93*Fórmulas!B$9</f>
        <v>0</v>
      </c>
      <c r="I93" s="7">
        <f>E93/Fórmulas!E$7</f>
        <v>0</v>
      </c>
      <c r="J93" s="17">
        <f>G93*Fórmulas!B$10</f>
        <v>0</v>
      </c>
      <c r="K93" s="1">
        <v>1</v>
      </c>
      <c r="L93" s="1">
        <f>((Fórmulas!C$6/Fórmulas!D$6)/0.7)*K93</f>
        <v>2.4489795918367347</v>
      </c>
      <c r="M93" s="1">
        <f>L93*Fórmulas!D$6</f>
        <v>857.14285714285711</v>
      </c>
    </row>
    <row r="94" spans="1:13" x14ac:dyDescent="0.25">
      <c r="A94" s="24"/>
      <c r="B94" s="25"/>
      <c r="C94" s="25"/>
      <c r="D94" s="25"/>
      <c r="E94" s="24"/>
      <c r="F94" s="24"/>
      <c r="G94" s="1">
        <f>((Fórmulas!C$7/Fórmulas!D$7)/Fórmulas!E$7)*E94</f>
        <v>0</v>
      </c>
      <c r="H94" s="1">
        <f>G94*Fórmulas!B$9</f>
        <v>0</v>
      </c>
      <c r="I94" s="7">
        <f>E94/Fórmulas!E$7</f>
        <v>0</v>
      </c>
      <c r="J94" s="17">
        <f>G94*Fórmulas!B$10</f>
        <v>0</v>
      </c>
      <c r="K94" s="1">
        <v>1</v>
      </c>
      <c r="L94" s="1">
        <f>((Fórmulas!C$6/Fórmulas!D$6)/0.7)*K94</f>
        <v>2.4489795918367347</v>
      </c>
      <c r="M94" s="1">
        <f>L94*Fórmulas!D$6</f>
        <v>857.14285714285711</v>
      </c>
    </row>
    <row r="95" spans="1:13" x14ac:dyDescent="0.25">
      <c r="A95" s="24"/>
      <c r="B95" s="25"/>
      <c r="C95" s="25"/>
      <c r="D95" s="25"/>
      <c r="E95" s="24"/>
      <c r="F95" s="24"/>
      <c r="G95" s="1">
        <f>((Fórmulas!C$7/Fórmulas!D$7)/Fórmulas!E$7)*E95</f>
        <v>0</v>
      </c>
      <c r="H95" s="1">
        <f>G95*Fórmulas!B$9</f>
        <v>0</v>
      </c>
      <c r="I95" s="7">
        <f>E95/Fórmulas!E$7</f>
        <v>0</v>
      </c>
      <c r="J95" s="17">
        <f>G95*Fórmulas!B$10</f>
        <v>0</v>
      </c>
      <c r="K95" s="1">
        <v>1</v>
      </c>
      <c r="L95" s="1">
        <f>((Fórmulas!C$6/Fórmulas!D$6)/0.7)*K95</f>
        <v>2.4489795918367347</v>
      </c>
      <c r="M95" s="1">
        <f>L95*Fórmulas!D$6</f>
        <v>857.14285714285711</v>
      </c>
    </row>
    <row r="96" spans="1:13" x14ac:dyDescent="0.25">
      <c r="A96" s="24"/>
      <c r="B96" s="25"/>
      <c r="C96" s="25"/>
      <c r="D96" s="25"/>
      <c r="E96" s="24"/>
      <c r="F96" s="24"/>
      <c r="G96" s="1">
        <f>((Fórmulas!C$7/Fórmulas!D$7)/Fórmulas!E$7)*E96</f>
        <v>0</v>
      </c>
      <c r="H96" s="1">
        <f>G96*Fórmulas!B$9</f>
        <v>0</v>
      </c>
      <c r="I96" s="7">
        <f>E96/Fórmulas!E$7</f>
        <v>0</v>
      </c>
      <c r="J96" s="17">
        <f>G96*Fórmulas!B$10</f>
        <v>0</v>
      </c>
      <c r="K96" s="1">
        <v>1</v>
      </c>
      <c r="L96" s="1">
        <f>((Fórmulas!C$6/Fórmulas!D$6)/0.7)*K96</f>
        <v>2.4489795918367347</v>
      </c>
      <c r="M96" s="1">
        <f>L96*Fórmulas!D$6</f>
        <v>857.14285714285711</v>
      </c>
    </row>
    <row r="97" spans="1:13" x14ac:dyDescent="0.25">
      <c r="A97" s="24"/>
      <c r="B97" s="25"/>
      <c r="C97" s="25"/>
      <c r="D97" s="25"/>
      <c r="E97" s="24"/>
      <c r="F97" s="24"/>
      <c r="G97" s="1">
        <f>((Fórmulas!C$7/Fórmulas!D$7)/Fórmulas!E$7)*E97</f>
        <v>0</v>
      </c>
      <c r="H97" s="1">
        <f>G97*Fórmulas!B$9</f>
        <v>0</v>
      </c>
      <c r="I97" s="7">
        <f>E97/Fórmulas!E$7</f>
        <v>0</v>
      </c>
      <c r="J97" s="17">
        <f>G97*Fórmulas!B$10</f>
        <v>0</v>
      </c>
      <c r="K97" s="1">
        <v>1</v>
      </c>
      <c r="L97" s="1">
        <f>((Fórmulas!C$6/Fórmulas!D$6)/0.7)*K97</f>
        <v>2.4489795918367347</v>
      </c>
      <c r="M97" s="1">
        <f>L97*Fórmulas!D$6</f>
        <v>857.14285714285711</v>
      </c>
    </row>
    <row r="98" spans="1:13" x14ac:dyDescent="0.25">
      <c r="A98" s="24"/>
      <c r="B98" s="25"/>
      <c r="C98" s="25"/>
      <c r="D98" s="25"/>
      <c r="E98" s="24"/>
      <c r="F98" s="24"/>
      <c r="G98" s="1">
        <f>((Fórmulas!C$7/Fórmulas!D$7)/Fórmulas!E$7)*E98</f>
        <v>0</v>
      </c>
      <c r="H98" s="1">
        <f>G98*Fórmulas!B$9</f>
        <v>0</v>
      </c>
      <c r="I98" s="7">
        <f>E98/Fórmulas!E$7</f>
        <v>0</v>
      </c>
      <c r="J98" s="17">
        <f>G98*Fórmulas!B$10</f>
        <v>0</v>
      </c>
      <c r="K98" s="1">
        <v>1</v>
      </c>
      <c r="L98" s="1">
        <f>((Fórmulas!C$6/Fórmulas!D$6)/0.7)*K98</f>
        <v>2.4489795918367347</v>
      </c>
      <c r="M98" s="1">
        <f>L98*Fórmulas!D$6</f>
        <v>857.14285714285711</v>
      </c>
    </row>
    <row r="99" spans="1:13" x14ac:dyDescent="0.25">
      <c r="A99" s="24"/>
      <c r="B99" s="25"/>
      <c r="C99" s="25"/>
      <c r="D99" s="25"/>
      <c r="E99" s="24"/>
      <c r="F99" s="24"/>
      <c r="G99" s="1">
        <f>((Fórmulas!C$7/Fórmulas!D$7)/Fórmulas!E$7)*E99</f>
        <v>0</v>
      </c>
      <c r="H99" s="1">
        <f>G99*Fórmulas!B$9</f>
        <v>0</v>
      </c>
      <c r="I99" s="7">
        <f>E99/Fórmulas!E$7</f>
        <v>0</v>
      </c>
      <c r="J99" s="17">
        <f>G99*Fórmulas!B$10</f>
        <v>0</v>
      </c>
      <c r="K99" s="1">
        <v>1</v>
      </c>
      <c r="L99" s="1">
        <f>((Fórmulas!C$6/Fórmulas!D$6)/0.7)*K99</f>
        <v>2.4489795918367347</v>
      </c>
      <c r="M99" s="1">
        <f>L99*Fórmulas!D$6</f>
        <v>857.14285714285711</v>
      </c>
    </row>
    <row r="100" spans="1:13" x14ac:dyDescent="0.25">
      <c r="A100" s="24"/>
      <c r="B100" s="25"/>
      <c r="C100" s="25"/>
      <c r="D100" s="25"/>
      <c r="E100" s="24"/>
      <c r="F100" s="24"/>
      <c r="G100" s="1">
        <f>((Fórmulas!C$7/Fórmulas!D$7)/Fórmulas!E$7)*E100</f>
        <v>0</v>
      </c>
      <c r="H100" s="1">
        <f>G100*Fórmulas!B$9</f>
        <v>0</v>
      </c>
      <c r="I100" s="7">
        <f>E100/Fórmulas!E$7</f>
        <v>0</v>
      </c>
      <c r="J100" s="17">
        <f>G100*Fórmulas!B$10</f>
        <v>0</v>
      </c>
      <c r="K100" s="1">
        <v>1</v>
      </c>
      <c r="L100" s="1">
        <f>((Fórmulas!C$6/Fórmulas!D$6)/0.7)*K100</f>
        <v>2.4489795918367347</v>
      </c>
      <c r="M100" s="1">
        <f>L100*Fórmulas!D$6</f>
        <v>857.14285714285711</v>
      </c>
    </row>
    <row r="101" spans="1:13" x14ac:dyDescent="0.25">
      <c r="A101" s="24"/>
      <c r="B101" s="25"/>
      <c r="C101" s="25"/>
      <c r="D101" s="25"/>
      <c r="E101" s="24"/>
      <c r="F101" s="24"/>
      <c r="G101" s="1">
        <f>((Fórmulas!C$7/Fórmulas!D$7)/Fórmulas!E$7)*E101</f>
        <v>0</v>
      </c>
      <c r="H101" s="1">
        <f>G101*Fórmulas!B$9</f>
        <v>0</v>
      </c>
      <c r="I101" s="7">
        <f>E101/Fórmulas!E$7</f>
        <v>0</v>
      </c>
      <c r="J101" s="17">
        <f>G101*Fórmulas!B$10</f>
        <v>0</v>
      </c>
      <c r="K101" s="1">
        <v>1</v>
      </c>
      <c r="L101" s="1">
        <f>((Fórmulas!C$6/Fórmulas!D$6)/0.7)*K101</f>
        <v>2.4489795918367347</v>
      </c>
      <c r="M101" s="1">
        <f>L101*Fórmulas!D$6</f>
        <v>857.14285714285711</v>
      </c>
    </row>
    <row r="102" spans="1:13" x14ac:dyDescent="0.25">
      <c r="A102" s="24"/>
      <c r="B102" s="25"/>
      <c r="C102" s="25"/>
      <c r="D102" s="25"/>
      <c r="E102" s="24"/>
      <c r="F102" s="24"/>
      <c r="G102" s="1">
        <f>((Fórmulas!C$7/Fórmulas!D$7)/Fórmulas!E$7)*E102</f>
        <v>0</v>
      </c>
      <c r="H102" s="1">
        <f>G102*Fórmulas!B$9</f>
        <v>0</v>
      </c>
      <c r="I102" s="7">
        <f>E102/Fórmulas!E$7</f>
        <v>0</v>
      </c>
      <c r="J102" s="17">
        <f>G102*Fórmulas!B$10</f>
        <v>0</v>
      </c>
      <c r="K102" s="1">
        <v>1</v>
      </c>
      <c r="L102" s="1">
        <f>((Fórmulas!C$6/Fórmulas!D$6)/0.7)*K102</f>
        <v>2.4489795918367347</v>
      </c>
      <c r="M102" s="1">
        <f>L102*Fórmulas!D$6</f>
        <v>857.14285714285711</v>
      </c>
    </row>
    <row r="103" spans="1:13" x14ac:dyDescent="0.25">
      <c r="A103" s="24"/>
      <c r="B103" s="25"/>
      <c r="C103" s="25"/>
      <c r="D103" s="25"/>
      <c r="E103" s="24"/>
      <c r="F103" s="24"/>
      <c r="G103" s="1">
        <f>((Fórmulas!C$7/Fórmulas!D$7)/Fórmulas!E$7)*E103</f>
        <v>0</v>
      </c>
      <c r="H103" s="1">
        <f>G103*Fórmulas!B$9</f>
        <v>0</v>
      </c>
      <c r="I103" s="7">
        <f>E103/Fórmulas!E$7</f>
        <v>0</v>
      </c>
      <c r="J103" s="17">
        <f>G103*Fórmulas!B$10</f>
        <v>0</v>
      </c>
      <c r="K103" s="1">
        <v>1</v>
      </c>
      <c r="L103" s="1">
        <f>((Fórmulas!C$6/Fórmulas!D$6)/0.7)*K103</f>
        <v>2.4489795918367347</v>
      </c>
      <c r="M103" s="1">
        <f>L103*Fórmulas!D$6</f>
        <v>857.14285714285711</v>
      </c>
    </row>
    <row r="104" spans="1:13" x14ac:dyDescent="0.25">
      <c r="A104" s="24"/>
      <c r="B104" s="25"/>
      <c r="C104" s="25"/>
      <c r="D104" s="25"/>
      <c r="E104" s="24"/>
      <c r="F104" s="24"/>
      <c r="G104" s="1">
        <f>((Fórmulas!C$7/Fórmulas!D$7)/Fórmulas!E$7)*E104</f>
        <v>0</v>
      </c>
      <c r="H104" s="1">
        <f>G104*Fórmulas!B$9</f>
        <v>0</v>
      </c>
      <c r="I104" s="7">
        <f>E104/Fórmulas!E$7</f>
        <v>0</v>
      </c>
      <c r="J104" s="17">
        <f>G104*Fórmulas!B$10</f>
        <v>0</v>
      </c>
      <c r="K104" s="1">
        <v>1</v>
      </c>
      <c r="L104" s="1">
        <f>((Fórmulas!C$6/Fórmulas!D$6)/0.7)*K104</f>
        <v>2.4489795918367347</v>
      </c>
      <c r="M104" s="1">
        <f>L104*Fórmulas!D$6</f>
        <v>857.14285714285711</v>
      </c>
    </row>
    <row r="105" spans="1:13" x14ac:dyDescent="0.25">
      <c r="A105" s="24"/>
      <c r="B105" s="25"/>
      <c r="C105" s="25"/>
      <c r="D105" s="25"/>
      <c r="E105" s="24"/>
      <c r="F105" s="24"/>
      <c r="G105" s="1">
        <f>((Fórmulas!C$7/Fórmulas!D$7)/Fórmulas!E$7)*E105</f>
        <v>0</v>
      </c>
      <c r="H105" s="1">
        <f>G105*Fórmulas!B$9</f>
        <v>0</v>
      </c>
      <c r="I105" s="7">
        <f>E105/Fórmulas!E$7</f>
        <v>0</v>
      </c>
      <c r="J105" s="17">
        <f>G105*Fórmulas!B$10</f>
        <v>0</v>
      </c>
      <c r="K105" s="1">
        <v>1</v>
      </c>
      <c r="L105" s="1">
        <f>((Fórmulas!C$6/Fórmulas!D$6)/0.7)*K105</f>
        <v>2.4489795918367347</v>
      </c>
      <c r="M105" s="1">
        <f>L105*Fórmulas!D$6</f>
        <v>857.14285714285711</v>
      </c>
    </row>
    <row r="106" spans="1:13" x14ac:dyDescent="0.25">
      <c r="A106" s="24"/>
      <c r="B106" s="25"/>
      <c r="C106" s="25"/>
      <c r="D106" s="25"/>
      <c r="E106" s="24"/>
      <c r="F106" s="24"/>
      <c r="G106" s="1">
        <f>((Fórmulas!C$7/Fórmulas!D$7)/Fórmulas!E$7)*E106</f>
        <v>0</v>
      </c>
      <c r="H106" s="1">
        <f>G106*Fórmulas!B$9</f>
        <v>0</v>
      </c>
      <c r="I106" s="7">
        <f>E106/Fórmulas!E$7</f>
        <v>0</v>
      </c>
      <c r="J106" s="17">
        <f>G106*Fórmulas!B$10</f>
        <v>0</v>
      </c>
      <c r="K106" s="1">
        <v>1</v>
      </c>
      <c r="L106" s="1">
        <f>((Fórmulas!C$6/Fórmulas!D$6)/0.7)*K106</f>
        <v>2.4489795918367347</v>
      </c>
      <c r="M106" s="1">
        <f>L106*Fórmulas!D$6</f>
        <v>857.14285714285711</v>
      </c>
    </row>
    <row r="107" spans="1:13" x14ac:dyDescent="0.25">
      <c r="A107" s="24"/>
      <c r="B107" s="25"/>
      <c r="C107" s="25"/>
      <c r="D107" s="25"/>
      <c r="E107" s="24"/>
      <c r="F107" s="24"/>
      <c r="G107" s="1">
        <f>((Fórmulas!C$7/Fórmulas!D$7)/Fórmulas!E$7)*E107</f>
        <v>0</v>
      </c>
      <c r="H107" s="1">
        <f>G107*Fórmulas!B$9</f>
        <v>0</v>
      </c>
      <c r="I107" s="7">
        <f>E107/Fórmulas!E$7</f>
        <v>0</v>
      </c>
      <c r="J107" s="17">
        <f>G107*Fórmulas!B$10</f>
        <v>0</v>
      </c>
      <c r="K107" s="1">
        <v>1</v>
      </c>
      <c r="L107" s="1">
        <f>((Fórmulas!C$6/Fórmulas!D$6)/0.7)*K107</f>
        <v>2.4489795918367347</v>
      </c>
      <c r="M107" s="1">
        <f>L107*Fórmulas!D$6</f>
        <v>857.14285714285711</v>
      </c>
    </row>
    <row r="108" spans="1:13" x14ac:dyDescent="0.25">
      <c r="A108" s="24"/>
      <c r="B108" s="25"/>
      <c r="C108" s="25"/>
      <c r="D108" s="25"/>
      <c r="E108" s="24"/>
      <c r="F108" s="24"/>
      <c r="G108" s="1">
        <f>((Fórmulas!C$7/Fórmulas!D$7)/Fórmulas!E$7)*E108</f>
        <v>0</v>
      </c>
      <c r="H108" s="1">
        <f>G108*Fórmulas!B$9</f>
        <v>0</v>
      </c>
      <c r="I108" s="7">
        <f>E108/Fórmulas!E$7</f>
        <v>0</v>
      </c>
      <c r="J108" s="17">
        <f>G108*Fórmulas!B$10</f>
        <v>0</v>
      </c>
      <c r="K108" s="1">
        <v>1</v>
      </c>
      <c r="L108" s="1">
        <f>((Fórmulas!C$6/Fórmulas!D$6)/0.7)*K108</f>
        <v>2.4489795918367347</v>
      </c>
      <c r="M108" s="1">
        <f>L108*Fórmulas!D$6</f>
        <v>857.14285714285711</v>
      </c>
    </row>
    <row r="109" spans="1:13" x14ac:dyDescent="0.25">
      <c r="A109" s="24"/>
      <c r="B109" s="25"/>
      <c r="C109" s="25"/>
      <c r="D109" s="25"/>
      <c r="E109" s="24"/>
      <c r="F109" s="24"/>
      <c r="G109" s="1">
        <f>((Fórmulas!C$7/Fórmulas!D$7)/Fórmulas!E$7)*E109</f>
        <v>0</v>
      </c>
      <c r="H109" s="1">
        <f>G109*Fórmulas!B$9</f>
        <v>0</v>
      </c>
      <c r="I109" s="7">
        <f>E109/Fórmulas!E$7</f>
        <v>0</v>
      </c>
      <c r="J109" s="17">
        <f>G109*Fórmulas!B$10</f>
        <v>0</v>
      </c>
      <c r="K109" s="1">
        <v>1</v>
      </c>
      <c r="L109" s="1">
        <f>((Fórmulas!C$6/Fórmulas!D$6)/0.7)*K109</f>
        <v>2.4489795918367347</v>
      </c>
      <c r="M109" s="1">
        <f>L109*Fórmulas!D$6</f>
        <v>857.14285714285711</v>
      </c>
    </row>
    <row r="110" spans="1:13" x14ac:dyDescent="0.25">
      <c r="A110" s="24"/>
      <c r="B110" s="25"/>
      <c r="C110" s="25"/>
      <c r="D110" s="25"/>
      <c r="E110" s="24"/>
      <c r="F110" s="24"/>
      <c r="G110" s="1">
        <f>((Fórmulas!C$7/Fórmulas!D$7)/Fórmulas!E$7)*E110</f>
        <v>0</v>
      </c>
      <c r="H110" s="1">
        <f>G110*Fórmulas!B$9</f>
        <v>0</v>
      </c>
      <c r="I110" s="7">
        <f>E110/Fórmulas!E$7</f>
        <v>0</v>
      </c>
      <c r="J110" s="17">
        <f>G110*Fórmulas!B$10</f>
        <v>0</v>
      </c>
      <c r="K110" s="1">
        <v>1</v>
      </c>
      <c r="L110" s="1">
        <f>((Fórmulas!C$6/Fórmulas!D$6)/0.7)*K110</f>
        <v>2.4489795918367347</v>
      </c>
      <c r="M110" s="1">
        <f>L110*Fórmulas!D$6</f>
        <v>857.14285714285711</v>
      </c>
    </row>
    <row r="111" spans="1:13" x14ac:dyDescent="0.25">
      <c r="A111" s="24"/>
      <c r="B111" s="25"/>
      <c r="C111" s="25"/>
      <c r="D111" s="25"/>
      <c r="E111" s="24"/>
      <c r="F111" s="24"/>
      <c r="G111" s="1">
        <f>((Fórmulas!C$7/Fórmulas!D$7)/Fórmulas!E$7)*E111</f>
        <v>0</v>
      </c>
      <c r="H111" s="1">
        <f>G111*Fórmulas!B$9</f>
        <v>0</v>
      </c>
      <c r="I111" s="7">
        <f>E111/Fórmulas!E$7</f>
        <v>0</v>
      </c>
      <c r="J111" s="17">
        <f>G111*Fórmulas!B$10</f>
        <v>0</v>
      </c>
      <c r="K111" s="1">
        <v>1</v>
      </c>
      <c r="L111" s="1">
        <f>((Fórmulas!C$6/Fórmulas!D$6)/0.7)*K111</f>
        <v>2.4489795918367347</v>
      </c>
      <c r="M111" s="1">
        <f>L111*Fórmulas!D$6</f>
        <v>857.14285714285711</v>
      </c>
    </row>
    <row r="112" spans="1:13" x14ac:dyDescent="0.25">
      <c r="A112" s="24"/>
      <c r="B112" s="25"/>
      <c r="C112" s="25"/>
      <c r="D112" s="25"/>
      <c r="E112" s="24"/>
      <c r="F112" s="24"/>
      <c r="G112" s="1">
        <f>((Fórmulas!C$7/Fórmulas!D$7)/Fórmulas!E$7)*E112</f>
        <v>0</v>
      </c>
      <c r="H112" s="1">
        <f>G112*Fórmulas!B$9</f>
        <v>0</v>
      </c>
      <c r="I112" s="7">
        <f>E112/Fórmulas!E$7</f>
        <v>0</v>
      </c>
      <c r="J112" s="17">
        <f>G112*Fórmulas!B$10</f>
        <v>0</v>
      </c>
      <c r="K112" s="1">
        <v>1</v>
      </c>
      <c r="L112" s="1">
        <f>((Fórmulas!C$6/Fórmulas!D$6)/0.7)*K112</f>
        <v>2.4489795918367347</v>
      </c>
      <c r="M112" s="1">
        <f>L112*Fórmulas!D$6</f>
        <v>857.14285714285711</v>
      </c>
    </row>
    <row r="113" spans="1:13" x14ac:dyDescent="0.25">
      <c r="A113" s="24"/>
      <c r="B113" s="25"/>
      <c r="C113" s="25"/>
      <c r="D113" s="25"/>
      <c r="E113" s="24"/>
      <c r="F113" s="24"/>
      <c r="G113" s="1">
        <f>((Fórmulas!C$7/Fórmulas!D$7)/Fórmulas!E$7)*E113</f>
        <v>0</v>
      </c>
      <c r="H113" s="1">
        <f>G113*Fórmulas!B$9</f>
        <v>0</v>
      </c>
      <c r="I113" s="7">
        <f>E113/Fórmulas!E$7</f>
        <v>0</v>
      </c>
      <c r="J113" s="17">
        <f>G113*Fórmulas!B$10</f>
        <v>0</v>
      </c>
      <c r="K113" s="1">
        <v>1</v>
      </c>
      <c r="L113" s="1">
        <f>((Fórmulas!C$6/Fórmulas!D$6)/0.7)*K113</f>
        <v>2.4489795918367347</v>
      </c>
      <c r="M113" s="1">
        <f>L113*Fórmulas!D$6</f>
        <v>857.14285714285711</v>
      </c>
    </row>
    <row r="114" spans="1:13" x14ac:dyDescent="0.25">
      <c r="A114" s="24"/>
      <c r="B114" s="25"/>
      <c r="C114" s="25"/>
      <c r="D114" s="25"/>
      <c r="E114" s="24"/>
      <c r="F114" s="24"/>
      <c r="G114" s="1">
        <f>((Fórmulas!C$7/Fórmulas!D$7)/Fórmulas!E$7)*E114</f>
        <v>0</v>
      </c>
      <c r="H114" s="1">
        <f>G114*Fórmulas!B$9</f>
        <v>0</v>
      </c>
      <c r="I114" s="7">
        <f>E114/Fórmulas!E$7</f>
        <v>0</v>
      </c>
      <c r="J114" s="17">
        <f>G114*Fórmulas!B$10</f>
        <v>0</v>
      </c>
      <c r="K114" s="1">
        <v>1</v>
      </c>
      <c r="L114" s="1">
        <f>((Fórmulas!C$6/Fórmulas!D$6)/0.7)*K114</f>
        <v>2.4489795918367347</v>
      </c>
      <c r="M114" s="1">
        <f>L114*Fórmulas!D$6</f>
        <v>857.14285714285711</v>
      </c>
    </row>
    <row r="115" spans="1:13" x14ac:dyDescent="0.25">
      <c r="A115" s="24"/>
      <c r="B115" s="25"/>
      <c r="C115" s="25"/>
      <c r="D115" s="25"/>
      <c r="E115" s="24"/>
      <c r="F115" s="24"/>
      <c r="G115" s="1">
        <f>((Fórmulas!C$7/Fórmulas!D$7)/Fórmulas!E$7)*E115</f>
        <v>0</v>
      </c>
      <c r="H115" s="1">
        <f>G115*Fórmulas!B$9</f>
        <v>0</v>
      </c>
      <c r="I115" s="7">
        <f>E115/Fórmulas!E$7</f>
        <v>0</v>
      </c>
      <c r="J115" s="17">
        <f>G115*Fórmulas!B$10</f>
        <v>0</v>
      </c>
      <c r="K115" s="1">
        <v>1</v>
      </c>
      <c r="L115" s="1">
        <f>((Fórmulas!C$6/Fórmulas!D$6)/0.7)*K115</f>
        <v>2.4489795918367347</v>
      </c>
      <c r="M115" s="1">
        <f>L115*Fórmulas!D$6</f>
        <v>857.14285714285711</v>
      </c>
    </row>
    <row r="116" spans="1:13" x14ac:dyDescent="0.25">
      <c r="A116" s="24"/>
      <c r="B116" s="25"/>
      <c r="C116" s="25"/>
      <c r="D116" s="25"/>
      <c r="E116" s="24"/>
      <c r="F116" s="24"/>
      <c r="G116" s="1">
        <f>((Fórmulas!C$7/Fórmulas!D$7)/Fórmulas!E$7)*E116</f>
        <v>0</v>
      </c>
      <c r="H116" s="1">
        <f>G116*Fórmulas!B$9</f>
        <v>0</v>
      </c>
      <c r="I116" s="7">
        <f>E116/Fórmulas!E$7</f>
        <v>0</v>
      </c>
      <c r="J116" s="17">
        <f>G116*Fórmulas!B$10</f>
        <v>0</v>
      </c>
      <c r="K116" s="1">
        <v>1</v>
      </c>
      <c r="L116" s="1">
        <f>((Fórmulas!C$6/Fórmulas!D$6)/0.7)*K116</f>
        <v>2.4489795918367347</v>
      </c>
      <c r="M116" s="1">
        <f>L116*Fórmulas!D$6</f>
        <v>857.14285714285711</v>
      </c>
    </row>
    <row r="117" spans="1:13" x14ac:dyDescent="0.25">
      <c r="A117" s="24"/>
      <c r="B117" s="25"/>
      <c r="C117" s="25"/>
      <c r="D117" s="25"/>
      <c r="E117" s="24"/>
      <c r="F117" s="24"/>
      <c r="G117" s="1">
        <f>((Fórmulas!C$7/Fórmulas!D$7)/Fórmulas!E$7)*E117</f>
        <v>0</v>
      </c>
      <c r="H117" s="1">
        <f>G117*Fórmulas!B$9</f>
        <v>0</v>
      </c>
      <c r="I117" s="7">
        <f>E117/Fórmulas!E$7</f>
        <v>0</v>
      </c>
      <c r="J117" s="17">
        <f>G117*Fórmulas!B$10</f>
        <v>0</v>
      </c>
      <c r="K117" s="1">
        <v>1</v>
      </c>
      <c r="L117" s="1">
        <f>((Fórmulas!C$6/Fórmulas!D$6)/0.7)*K117</f>
        <v>2.4489795918367347</v>
      </c>
      <c r="M117" s="1">
        <f>L117*Fórmulas!D$6</f>
        <v>857.14285714285711</v>
      </c>
    </row>
    <row r="118" spans="1:13" x14ac:dyDescent="0.25">
      <c r="A118" s="24"/>
      <c r="B118" s="25"/>
      <c r="C118" s="25"/>
      <c r="D118" s="25"/>
      <c r="E118" s="24"/>
      <c r="F118" s="24"/>
      <c r="G118" s="1">
        <f>((Fórmulas!C$7/Fórmulas!D$7)/Fórmulas!E$7)*E118</f>
        <v>0</v>
      </c>
      <c r="H118" s="1">
        <f>G118*Fórmulas!B$9</f>
        <v>0</v>
      </c>
      <c r="I118" s="7">
        <f>E118/Fórmulas!E$7</f>
        <v>0</v>
      </c>
      <c r="J118" s="17">
        <f>G118*Fórmulas!B$10</f>
        <v>0</v>
      </c>
      <c r="K118" s="1">
        <v>1</v>
      </c>
      <c r="L118" s="1">
        <f>((Fórmulas!C$6/Fórmulas!D$6)/0.7)*K118</f>
        <v>2.4489795918367347</v>
      </c>
      <c r="M118" s="1">
        <f>L118*Fórmulas!D$6</f>
        <v>857.14285714285711</v>
      </c>
    </row>
    <row r="119" spans="1:13" x14ac:dyDescent="0.25">
      <c r="A119" s="24"/>
      <c r="B119" s="25"/>
      <c r="C119" s="25"/>
      <c r="D119" s="25"/>
      <c r="E119" s="24"/>
      <c r="F119" s="24"/>
      <c r="G119" s="1">
        <f>((Fórmulas!C$7/Fórmulas!D$7)/Fórmulas!E$7)*E119</f>
        <v>0</v>
      </c>
      <c r="H119" s="1">
        <f>G119*Fórmulas!B$9</f>
        <v>0</v>
      </c>
      <c r="I119" s="7">
        <f>E119/Fórmulas!E$7</f>
        <v>0</v>
      </c>
      <c r="J119" s="17">
        <f>G119*Fórmulas!B$10</f>
        <v>0</v>
      </c>
      <c r="K119" s="1">
        <v>1</v>
      </c>
      <c r="L119" s="1">
        <f>((Fórmulas!C$6/Fórmulas!D$6)/0.7)*K119</f>
        <v>2.4489795918367347</v>
      </c>
      <c r="M119" s="1">
        <f>L119*Fórmulas!D$6</f>
        <v>857.14285714285711</v>
      </c>
    </row>
    <row r="120" spans="1:13" x14ac:dyDescent="0.25">
      <c r="A120" s="24"/>
      <c r="B120" s="25"/>
      <c r="C120" s="25"/>
      <c r="D120" s="25"/>
      <c r="E120" s="24"/>
      <c r="F120" s="24"/>
      <c r="G120" s="1">
        <f>((Fórmulas!C$7/Fórmulas!D$7)/Fórmulas!E$7)*E120</f>
        <v>0</v>
      </c>
      <c r="H120" s="1">
        <f>G120*Fórmulas!B$9</f>
        <v>0</v>
      </c>
      <c r="I120" s="7">
        <f>E120/Fórmulas!E$7</f>
        <v>0</v>
      </c>
      <c r="J120" s="17">
        <f>G120*Fórmulas!B$10</f>
        <v>0</v>
      </c>
      <c r="K120" s="1">
        <v>1</v>
      </c>
      <c r="L120" s="1">
        <f>((Fórmulas!C$6/Fórmulas!D$6)/0.7)*K120</f>
        <v>2.4489795918367347</v>
      </c>
      <c r="M120" s="1">
        <f>L120*Fórmulas!D$6</f>
        <v>857.14285714285711</v>
      </c>
    </row>
    <row r="121" spans="1:13" x14ac:dyDescent="0.25">
      <c r="A121" s="24"/>
      <c r="B121" s="25"/>
      <c r="C121" s="25"/>
      <c r="D121" s="25"/>
      <c r="E121" s="24"/>
      <c r="F121" s="24"/>
      <c r="G121" s="1">
        <f>((Fórmulas!C$7/Fórmulas!D$7)/Fórmulas!E$7)*E121</f>
        <v>0</v>
      </c>
      <c r="H121" s="1">
        <f>G121*Fórmulas!B$9</f>
        <v>0</v>
      </c>
      <c r="I121" s="7">
        <f>E121/Fórmulas!E$7</f>
        <v>0</v>
      </c>
      <c r="J121" s="17">
        <f>G121*Fórmulas!B$10</f>
        <v>0</v>
      </c>
      <c r="K121" s="1">
        <v>1</v>
      </c>
      <c r="L121" s="1">
        <f>((Fórmulas!C$6/Fórmulas!D$6)/0.7)*K121</f>
        <v>2.4489795918367347</v>
      </c>
      <c r="M121" s="1">
        <f>L121*Fórmulas!D$6</f>
        <v>857.14285714285711</v>
      </c>
    </row>
    <row r="122" spans="1:13" x14ac:dyDescent="0.25">
      <c r="A122" s="24"/>
      <c r="B122" s="25"/>
      <c r="C122" s="25"/>
      <c r="D122" s="25"/>
      <c r="E122" s="24"/>
      <c r="F122" s="24"/>
      <c r="G122" s="1">
        <f>((Fórmulas!C$7/Fórmulas!D$7)/Fórmulas!E$7)*E122</f>
        <v>0</v>
      </c>
      <c r="H122" s="1">
        <f>G122*Fórmulas!B$9</f>
        <v>0</v>
      </c>
      <c r="I122" s="7">
        <f>E122/Fórmulas!E$7</f>
        <v>0</v>
      </c>
      <c r="J122" s="17">
        <f>G122*Fórmulas!B$10</f>
        <v>0</v>
      </c>
      <c r="K122" s="1">
        <v>1</v>
      </c>
      <c r="L122" s="1">
        <f>((Fórmulas!C$6/Fórmulas!D$6)/0.7)*K122</f>
        <v>2.4489795918367347</v>
      </c>
      <c r="M122" s="1">
        <f>L122*Fórmulas!D$6</f>
        <v>857.14285714285711</v>
      </c>
    </row>
    <row r="123" spans="1:13" x14ac:dyDescent="0.25">
      <c r="A123" s="24"/>
      <c r="B123" s="25"/>
      <c r="C123" s="25"/>
      <c r="D123" s="25"/>
      <c r="E123" s="24"/>
      <c r="F123" s="24"/>
      <c r="G123" s="1">
        <f>((Fórmulas!C$7/Fórmulas!D$7)/Fórmulas!E$7)*E123</f>
        <v>0</v>
      </c>
      <c r="H123" s="1">
        <f>G123*Fórmulas!B$9</f>
        <v>0</v>
      </c>
      <c r="I123" s="7">
        <f>E123/Fórmulas!E$7</f>
        <v>0</v>
      </c>
      <c r="J123" s="17">
        <f>G123*Fórmulas!B$10</f>
        <v>0</v>
      </c>
      <c r="K123" s="1">
        <v>1</v>
      </c>
      <c r="L123" s="1">
        <f>((Fórmulas!C$6/Fórmulas!D$6)/0.7)*K123</f>
        <v>2.4489795918367347</v>
      </c>
      <c r="M123" s="1">
        <f>L123*Fórmulas!D$6</f>
        <v>857.14285714285711</v>
      </c>
    </row>
    <row r="124" spans="1:13" x14ac:dyDescent="0.25">
      <c r="A124" s="24"/>
      <c r="B124" s="25"/>
      <c r="C124" s="25"/>
      <c r="D124" s="25"/>
      <c r="E124" s="24"/>
      <c r="F124" s="24"/>
      <c r="G124" s="1">
        <f>((Fórmulas!C$7/Fórmulas!D$7)/Fórmulas!E$7)*E124</f>
        <v>0</v>
      </c>
      <c r="H124" s="1">
        <f>G124*Fórmulas!B$9</f>
        <v>0</v>
      </c>
      <c r="I124" s="7">
        <f>E124/Fórmulas!E$7</f>
        <v>0</v>
      </c>
      <c r="J124" s="17">
        <f>G124*Fórmulas!B$10</f>
        <v>0</v>
      </c>
      <c r="K124" s="1">
        <v>1</v>
      </c>
      <c r="L124" s="1">
        <f>((Fórmulas!C$6/Fórmulas!D$6)/0.7)*K124</f>
        <v>2.4489795918367347</v>
      </c>
      <c r="M124" s="1">
        <f>L124*Fórmulas!D$6</f>
        <v>857.14285714285711</v>
      </c>
    </row>
    <row r="125" spans="1:13" x14ac:dyDescent="0.25">
      <c r="A125" s="24"/>
      <c r="B125" s="25"/>
      <c r="C125" s="25"/>
      <c r="D125" s="25"/>
      <c r="E125" s="24"/>
      <c r="F125" s="24"/>
      <c r="G125" s="1">
        <f>((Fórmulas!C$7/Fórmulas!D$7)/Fórmulas!E$7)*E125</f>
        <v>0</v>
      </c>
      <c r="H125" s="1">
        <f>G125*Fórmulas!B$9</f>
        <v>0</v>
      </c>
      <c r="I125" s="7">
        <f>E125/Fórmulas!E$7</f>
        <v>0</v>
      </c>
      <c r="J125" s="17">
        <f>G125*Fórmulas!B$10</f>
        <v>0</v>
      </c>
      <c r="K125" s="1">
        <v>1</v>
      </c>
      <c r="L125" s="1">
        <f>((Fórmulas!C$6/Fórmulas!D$6)/0.7)*K125</f>
        <v>2.4489795918367347</v>
      </c>
      <c r="M125" s="1">
        <f>L125*Fórmulas!D$6</f>
        <v>857.14285714285711</v>
      </c>
    </row>
    <row r="126" spans="1:13" x14ac:dyDescent="0.25">
      <c r="A126" s="24"/>
      <c r="B126" s="25"/>
      <c r="C126" s="25"/>
      <c r="D126" s="25"/>
      <c r="E126" s="24"/>
      <c r="F126" s="24"/>
      <c r="G126" s="1">
        <f>((Fórmulas!C$7/Fórmulas!D$7)/Fórmulas!E$7)*E126</f>
        <v>0</v>
      </c>
      <c r="H126" s="1">
        <f>G126*Fórmulas!B$9</f>
        <v>0</v>
      </c>
      <c r="I126" s="7">
        <f>E126/Fórmulas!E$7</f>
        <v>0</v>
      </c>
      <c r="J126" s="17">
        <f>G126*Fórmulas!B$10</f>
        <v>0</v>
      </c>
      <c r="K126" s="1">
        <v>1</v>
      </c>
      <c r="L126" s="1">
        <f>((Fórmulas!C$6/Fórmulas!D$6)/0.7)*K126</f>
        <v>2.4489795918367347</v>
      </c>
      <c r="M126" s="1">
        <f>L126*Fórmulas!D$6</f>
        <v>857.14285714285711</v>
      </c>
    </row>
    <row r="127" spans="1:13" x14ac:dyDescent="0.25">
      <c r="A127" s="24"/>
      <c r="B127" s="25"/>
      <c r="C127" s="25"/>
      <c r="D127" s="25"/>
      <c r="E127" s="24"/>
      <c r="F127" s="24"/>
      <c r="G127" s="1">
        <f>((Fórmulas!C$7/Fórmulas!D$7)/Fórmulas!E$7)*E127</f>
        <v>0</v>
      </c>
      <c r="H127" s="1">
        <f>G127*Fórmulas!B$9</f>
        <v>0</v>
      </c>
      <c r="I127" s="7">
        <f>E127/Fórmulas!E$7</f>
        <v>0</v>
      </c>
      <c r="J127" s="17">
        <f>G127*Fórmulas!B$10</f>
        <v>0</v>
      </c>
      <c r="K127" s="1">
        <v>1</v>
      </c>
      <c r="L127" s="1">
        <f>((Fórmulas!C$6/Fórmulas!D$6)/0.7)*K127</f>
        <v>2.4489795918367347</v>
      </c>
      <c r="M127" s="1">
        <f>L127*Fórmulas!D$6</f>
        <v>857.14285714285711</v>
      </c>
    </row>
    <row r="128" spans="1:13" x14ac:dyDescent="0.25">
      <c r="A128" s="24"/>
      <c r="B128" s="25"/>
      <c r="C128" s="25"/>
      <c r="D128" s="25"/>
      <c r="E128" s="24"/>
      <c r="F128" s="24"/>
      <c r="G128" s="1">
        <f>((Fórmulas!C$7/Fórmulas!D$7)/Fórmulas!E$7)*E128</f>
        <v>0</v>
      </c>
      <c r="H128" s="1">
        <f>G128*Fórmulas!B$9</f>
        <v>0</v>
      </c>
      <c r="I128" s="7">
        <f>E128/Fórmulas!E$7</f>
        <v>0</v>
      </c>
      <c r="J128" s="17">
        <f>G128*Fórmulas!B$10</f>
        <v>0</v>
      </c>
      <c r="K128" s="1">
        <v>1</v>
      </c>
      <c r="L128" s="1">
        <f>((Fórmulas!C$6/Fórmulas!D$6)/0.7)*K128</f>
        <v>2.4489795918367347</v>
      </c>
      <c r="M128" s="1">
        <f>L128*Fórmulas!D$6</f>
        <v>857.14285714285711</v>
      </c>
    </row>
    <row r="129" spans="1:13" x14ac:dyDescent="0.25">
      <c r="A129" s="24"/>
      <c r="B129" s="25"/>
      <c r="C129" s="25"/>
      <c r="D129" s="25"/>
      <c r="E129" s="24"/>
      <c r="F129" s="24"/>
      <c r="G129" s="1">
        <f>((Fórmulas!C$7/Fórmulas!D$7)/Fórmulas!E$7)*E129</f>
        <v>0</v>
      </c>
      <c r="H129" s="1">
        <f>G129*Fórmulas!B$9</f>
        <v>0</v>
      </c>
      <c r="I129" s="7">
        <f>E129/Fórmulas!E$7</f>
        <v>0</v>
      </c>
      <c r="J129" s="17">
        <f>G129*Fórmulas!B$10</f>
        <v>0</v>
      </c>
      <c r="K129" s="1">
        <v>1</v>
      </c>
      <c r="L129" s="1">
        <f>((Fórmulas!C$6/Fórmulas!D$6)/0.7)*K129</f>
        <v>2.4489795918367347</v>
      </c>
      <c r="M129" s="1">
        <f>L129*Fórmulas!D$6</f>
        <v>857.14285714285711</v>
      </c>
    </row>
  </sheetData>
  <mergeCells count="127">
    <mergeCell ref="B129:D129"/>
    <mergeCell ref="B123:D123"/>
    <mergeCell ref="B124:D124"/>
    <mergeCell ref="B125:D125"/>
    <mergeCell ref="B126:D126"/>
    <mergeCell ref="B127:D127"/>
    <mergeCell ref="B128:D128"/>
    <mergeCell ref="B117:D117"/>
    <mergeCell ref="B118:D118"/>
    <mergeCell ref="B119:D119"/>
    <mergeCell ref="B120:D120"/>
    <mergeCell ref="B121:D121"/>
    <mergeCell ref="B122:D122"/>
    <mergeCell ref="B111:D111"/>
    <mergeCell ref="B112:D112"/>
    <mergeCell ref="B113:D113"/>
    <mergeCell ref="B114:D114"/>
    <mergeCell ref="B115:D115"/>
    <mergeCell ref="B116:D116"/>
    <mergeCell ref="B105:D105"/>
    <mergeCell ref="B106:D106"/>
    <mergeCell ref="B107:D107"/>
    <mergeCell ref="B108:D108"/>
    <mergeCell ref="B109:D109"/>
    <mergeCell ref="B110:D110"/>
    <mergeCell ref="B99:D99"/>
    <mergeCell ref="B100:D100"/>
    <mergeCell ref="B101:D101"/>
    <mergeCell ref="B102:D102"/>
    <mergeCell ref="B103:D103"/>
    <mergeCell ref="B104:D104"/>
    <mergeCell ref="B93:D93"/>
    <mergeCell ref="B94:D94"/>
    <mergeCell ref="B95:D95"/>
    <mergeCell ref="B96:D96"/>
    <mergeCell ref="B97:D97"/>
    <mergeCell ref="B98:D98"/>
    <mergeCell ref="B87:D87"/>
    <mergeCell ref="B88:D88"/>
    <mergeCell ref="B89:D89"/>
    <mergeCell ref="B90:D90"/>
    <mergeCell ref="B91:D91"/>
    <mergeCell ref="B92:D92"/>
    <mergeCell ref="B81:D81"/>
    <mergeCell ref="B82:D82"/>
    <mergeCell ref="B83:D83"/>
    <mergeCell ref="B84:D84"/>
    <mergeCell ref="B85:D85"/>
    <mergeCell ref="B86:D86"/>
    <mergeCell ref="B75:D75"/>
    <mergeCell ref="B76:D76"/>
    <mergeCell ref="B77:D77"/>
    <mergeCell ref="B78:D78"/>
    <mergeCell ref="B79:D79"/>
    <mergeCell ref="B80:D80"/>
    <mergeCell ref="B69:D69"/>
    <mergeCell ref="B70:D70"/>
    <mergeCell ref="B71:D71"/>
    <mergeCell ref="B72:D72"/>
    <mergeCell ref="B73:D73"/>
    <mergeCell ref="B74:D74"/>
    <mergeCell ref="B63:D63"/>
    <mergeCell ref="B64:D64"/>
    <mergeCell ref="B65:D65"/>
    <mergeCell ref="B66:D66"/>
    <mergeCell ref="B67:D67"/>
    <mergeCell ref="B68:D68"/>
    <mergeCell ref="B57:D57"/>
    <mergeCell ref="B58:D58"/>
    <mergeCell ref="B59:D59"/>
    <mergeCell ref="B60:D60"/>
    <mergeCell ref="B61:D61"/>
    <mergeCell ref="B62:D62"/>
    <mergeCell ref="B51:D51"/>
    <mergeCell ref="B52:D52"/>
    <mergeCell ref="B53:D53"/>
    <mergeCell ref="B54:D54"/>
    <mergeCell ref="B55:D55"/>
    <mergeCell ref="B56:D56"/>
    <mergeCell ref="B45:D45"/>
    <mergeCell ref="B46:D46"/>
    <mergeCell ref="B47:D47"/>
    <mergeCell ref="B48:D48"/>
    <mergeCell ref="B49:D49"/>
    <mergeCell ref="B50:D50"/>
    <mergeCell ref="B39:D39"/>
    <mergeCell ref="B40:D40"/>
    <mergeCell ref="B41:D41"/>
    <mergeCell ref="B42:D42"/>
    <mergeCell ref="B43:D43"/>
    <mergeCell ref="B44:D44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5:D15"/>
    <mergeCell ref="B16:D16"/>
    <mergeCell ref="B17:D17"/>
    <mergeCell ref="B18:D18"/>
    <mergeCell ref="B19:D19"/>
    <mergeCell ref="B20:D20"/>
    <mergeCell ref="B9:D9"/>
    <mergeCell ref="B10:D10"/>
    <mergeCell ref="B11:D11"/>
    <mergeCell ref="B12:D12"/>
    <mergeCell ref="B13:D13"/>
    <mergeCell ref="B14:D14"/>
    <mergeCell ref="E4:I4"/>
    <mergeCell ref="K4:M4"/>
    <mergeCell ref="B5:D5"/>
    <mergeCell ref="B6:D6"/>
    <mergeCell ref="B7:D7"/>
    <mergeCell ref="B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C7" sqref="C7"/>
    </sheetView>
  </sheetViews>
  <sheetFormatPr baseColWidth="10" defaultRowHeight="15" x14ac:dyDescent="0.25"/>
  <cols>
    <col min="1" max="1" width="18.42578125" style="9" bestFit="1" customWidth="1"/>
    <col min="2" max="2" width="19.28515625" customWidth="1"/>
    <col min="3" max="3" width="14" bestFit="1" customWidth="1"/>
    <col min="8" max="8" width="12.7109375" bestFit="1" customWidth="1"/>
    <col min="9" max="9" width="13.140625" customWidth="1"/>
  </cols>
  <sheetData>
    <row r="1" spans="1:10" x14ac:dyDescent="0.25">
      <c r="I1" s="9"/>
      <c r="J1" s="10"/>
    </row>
    <row r="2" spans="1:10" x14ac:dyDescent="0.25">
      <c r="I2" s="9"/>
    </row>
    <row r="5" spans="1:10" x14ac:dyDescent="0.25">
      <c r="B5" t="s">
        <v>8</v>
      </c>
      <c r="C5" t="s">
        <v>6</v>
      </c>
      <c r="D5" t="s">
        <v>7</v>
      </c>
      <c r="F5" t="s">
        <v>525</v>
      </c>
    </row>
    <row r="6" spans="1:10" x14ac:dyDescent="0.25">
      <c r="A6" s="13" t="s">
        <v>221</v>
      </c>
      <c r="B6">
        <v>49</v>
      </c>
      <c r="C6">
        <v>600</v>
      </c>
      <c r="D6">
        <v>350</v>
      </c>
      <c r="E6" s="12">
        <v>0.7</v>
      </c>
      <c r="F6" s="1">
        <f>((C6/D6)/E6)*B6</f>
        <v>120</v>
      </c>
      <c r="G6" s="1">
        <f>D6*F6</f>
        <v>42000</v>
      </c>
    </row>
    <row r="7" spans="1:10" x14ac:dyDescent="0.25">
      <c r="A7" s="5" t="s">
        <v>524</v>
      </c>
      <c r="B7" s="3">
        <v>1</v>
      </c>
      <c r="C7" s="3">
        <v>600</v>
      </c>
      <c r="D7" s="3">
        <v>350</v>
      </c>
      <c r="E7" s="3">
        <v>0.6</v>
      </c>
      <c r="F7" s="1">
        <f>((C7/D7)/E7)*B7</f>
        <v>2.8571428571428572</v>
      </c>
      <c r="G7" s="1">
        <f>D7*F7</f>
        <v>1000</v>
      </c>
    </row>
    <row r="8" spans="1:10" x14ac:dyDescent="0.25">
      <c r="A8" s="14" t="s">
        <v>527</v>
      </c>
      <c r="B8">
        <v>10</v>
      </c>
      <c r="C8">
        <v>600</v>
      </c>
      <c r="D8">
        <v>350</v>
      </c>
      <c r="E8">
        <v>0.8</v>
      </c>
      <c r="F8" s="1">
        <f>((C8/D8)/E8)*B8</f>
        <v>21.428571428571427</v>
      </c>
      <c r="G8" s="1">
        <f>F8*1.7*D8</f>
        <v>12749.999999999998</v>
      </c>
      <c r="H8" s="1"/>
      <c r="I8" s="1"/>
      <c r="J8" s="1"/>
    </row>
    <row r="9" spans="1:10" x14ac:dyDescent="0.25">
      <c r="A9" s="15" t="s">
        <v>526</v>
      </c>
      <c r="B9">
        <v>350</v>
      </c>
    </row>
    <row r="10" spans="1:10" s="9" customFormat="1" x14ac:dyDescent="0.25">
      <c r="A10" s="18" t="s">
        <v>529</v>
      </c>
      <c r="B10" s="9">
        <v>600</v>
      </c>
    </row>
    <row r="11" spans="1:10" x14ac:dyDescent="0.25">
      <c r="A11" s="16" t="s">
        <v>390</v>
      </c>
      <c r="B11" s="10">
        <v>0.1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General</vt:lpstr>
      <vt:lpstr>Secundario</vt:lpstr>
      <vt:lpstr>Productos de Bajo Costo</vt:lpstr>
      <vt:lpstr>BICICLETA</vt:lpstr>
      <vt:lpstr>Fórmulas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2026-01-18T18:56:49Z</cp:lastPrinted>
  <dcterms:created xsi:type="dcterms:W3CDTF">2026-01-09T15:46:50Z</dcterms:created>
  <dcterms:modified xsi:type="dcterms:W3CDTF">2026-01-18T19:01:20Z</dcterms:modified>
</cp:coreProperties>
</file>